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it works" sheetId="1" state="visible" r:id="rId1"/>
    <sheet xmlns:r="http://schemas.openxmlformats.org/officeDocument/2006/relationships" name="Group" sheetId="2" state="visible" r:id="rId2"/>
    <sheet xmlns:r="http://schemas.openxmlformats.org/officeDocument/2006/relationships" name="Goals" sheetId="3" state="visible" r:id="rId3"/>
    <sheet xmlns:r="http://schemas.openxmlformats.org/officeDocument/2006/relationships" name="Scoreboard" sheetId="4" state="visible" r:id="rId4"/>
    <sheet xmlns:r="http://schemas.openxmlformats.org/officeDocument/2006/relationships" name="Examples"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mbria"/>
      <b val="1"/>
      <color rgb="FF0D4F6E"/>
      <sz val="16"/>
    </font>
    <font>
      <name val="Cambria"/>
      <color rgb="FF64748B"/>
      <sz val="11"/>
    </font>
    <font>
      <name val="Cambria"/>
      <b val="1"/>
      <color rgb="FF0D4F6E"/>
      <sz val="12"/>
    </font>
    <font>
      <name val="Calibri"/>
      <b val="1"/>
      <sz val="11"/>
    </font>
    <font>
      <name val="Calibri"/>
      <sz val="11"/>
    </font>
    <font>
      <name val="Cambria"/>
      <b val="1"/>
      <color rgb="FFFFFFFF"/>
      <sz val="12"/>
    </font>
  </fonts>
  <fills count="5">
    <fill>
      <patternFill/>
    </fill>
    <fill>
      <patternFill patternType="gray125"/>
    </fill>
    <fill>
      <patternFill patternType="solid">
        <fgColor rgb="FFF8FAFC"/>
      </patternFill>
    </fill>
    <fill>
      <patternFill patternType="solid">
        <fgColor rgb="FF0D4F6E"/>
      </patternFill>
    </fill>
    <fill>
      <patternFill patternType="solid">
        <fgColor rgb="FFE0ECF4"/>
      </patternFill>
    </fill>
  </fills>
  <borders count="2">
    <border>
      <left/>
      <right/>
      <top/>
      <bottom/>
      <diagonal/>
    </border>
    <border>
      <left style="thin">
        <color rgb="FFCBD5E1"/>
      </left>
      <right style="thin">
        <color rgb="FFCBD5E1"/>
      </right>
      <top style="thin">
        <color rgb="FFCBD5E1"/>
      </top>
      <bottom style="thin">
        <color rgb="FFCBD5E1"/>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2" borderId="1" applyAlignment="1" pivotButton="0" quotePrefix="0" xfId="0">
      <alignment vertical="top" wrapText="1"/>
    </xf>
    <xf numFmtId="0" fontId="2" fillId="0" borderId="0" applyAlignment="1" pivotButton="0" quotePrefix="0" xfId="0">
      <alignment vertical="top" wrapText="1"/>
    </xf>
    <xf numFmtId="0" fontId="6" fillId="3" borderId="1" applyAlignment="1" pivotButton="0" quotePrefix="0" xfId="0">
      <alignment vertical="center" wrapText="1"/>
    </xf>
    <xf numFmtId="0" fontId="5" fillId="2" borderId="1" applyAlignment="1" pivotButton="0" quotePrefix="0" xfId="0">
      <alignment horizontal="center" vertical="top" wrapText="1"/>
    </xf>
    <xf numFmtId="164" fontId="5" fillId="2" borderId="1" applyAlignment="1" pivotButton="0" quotePrefix="0" xfId="0">
      <alignment vertical="top" wrapText="1"/>
    </xf>
    <xf numFmtId="0" fontId="5" fillId="4" borderId="1" applyAlignment="1" pivotButton="0" quotePrefix="0" xfId="0">
      <alignment horizontal="center" vertical="top" wrapText="1"/>
    </xf>
    <xf numFmtId="9" fontId="5" fillId="4" borderId="1" applyAlignment="1" pivotButton="0" quotePrefix="0" xfId="0">
      <alignment horizontal="center" vertical="top" wrapText="1"/>
    </xf>
    <xf numFmtId="0" fontId="5" fillId="4" borderId="1" applyAlignment="1" pivotButton="0" quotePrefix="0" xfId="0">
      <alignment vertical="top" wrapText="1"/>
    </xf>
    <xf numFmtId="9" fontId="5" fillId="2" borderId="1" applyAlignment="1" pivotButton="0" quotePrefix="0" xfId="0">
      <alignment horizontal="center" vertical="top" wrapText="1"/>
    </xf>
    <xf numFmtId="0" fontId="5" fillId="0" borderId="0" pivotButton="0" quotePrefix="0" xfId="0"/>
  </cellXfs>
  <cellStyles count="1">
    <cellStyle name="Normal" xfId="0" builtinId="0" hidden="0"/>
  </cellStyles>
  <dxfs count="2">
    <dxf>
      <fill>
        <patternFill patternType="solid">
          <fgColor rgb="FFFFF4C2"/>
        </patternFill>
      </fill>
    </dxf>
    <dxf>
      <font>
        <name val="Calibri"/>
        <b val="1"/>
        <color rgb="FF0D4F6E"/>
        <sz val="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6" customWidth="1" min="1" max="1"/>
    <col width="96" customWidth="1" min="2" max="2"/>
  </cols>
  <sheetData>
    <row r="1">
      <c r="A1" s="1" t="inlineStr">
        <is>
          <t>ACCOUNTABILITY GROUP</t>
        </is>
      </c>
    </row>
    <row r="2">
      <c r="A2" s="2" t="inlineStr">
        <is>
          <t>3 to 7 teams at your pace. Every two weeks. One goal per team. Candid answers.</t>
        </is>
      </c>
    </row>
    <row r="4">
      <c r="A4" s="3" t="inlineStr">
        <is>
          <t>WHY</t>
        </is>
      </c>
    </row>
    <row r="5" ht="46" customHeight="1">
      <c r="A5" s="4" t="inlineStr">
        <is>
          <t>Busy is not progress</t>
        </is>
      </c>
      <c r="B5" s="5" t="inlineStr">
        <is>
          <t>Founders fill weeks with work that feels productive: a logo, a grant form, a fifth deck version. Nobody inside your team says stop. A group of peers who see your numbers every two weeks does.</t>
        </is>
      </c>
    </row>
    <row r="6" ht="46" customHeight="1">
      <c r="A6" s="4" t="inlineStr">
        <is>
          <t>What it is</t>
        </is>
      </c>
      <c r="B6" s="5" t="inlineStr">
        <is>
          <t>A small group of teams at a similar stage that meets every two weeks, sets one goal per team and asks candidly two weeks later whether it was hit.</t>
        </is>
      </c>
    </row>
    <row r="8">
      <c r="A8" s="3" t="inlineStr">
        <is>
          <t>THE GROUP</t>
        </is>
      </c>
    </row>
    <row r="9" ht="32" customHeight="1">
      <c r="A9" s="4" t="inlineStr">
        <is>
          <t>Size</t>
        </is>
      </c>
      <c r="B9" s="5" t="inlineStr">
        <is>
          <t>3 to 7 teams. Fewer than 3 is a chat, more than 7 does not fit into 45 minutes.</t>
        </is>
      </c>
    </row>
    <row r="10" ht="32" customHeight="1">
      <c r="A10" s="4" t="inlineStr">
        <is>
          <t>Pace</t>
        </is>
      </c>
      <c r="B10" s="5" t="inlineStr">
        <is>
          <t>Teams at a similar stage of the course or the evidence pyramid, so the goals are comparable.</t>
        </is>
      </c>
    </row>
    <row r="11" ht="32" customHeight="1">
      <c r="A11" s="4" t="inlineStr">
        <is>
          <t>Roles</t>
        </is>
      </c>
      <c r="B11" s="5" t="inlineStr">
        <is>
          <t>One host per meeting, rotating through the Group sheet. The host keeps the time and fills in the Goals sheet.</t>
        </is>
      </c>
    </row>
    <row r="12" ht="32" customHeight="1">
      <c r="A12" s="4" t="inlineStr">
        <is>
          <t>Format</t>
        </is>
      </c>
      <c r="B12" s="5" t="inlineStr">
        <is>
          <t>Informal and short. Video call or a table in a café. No slides. Numbers before stories.</t>
        </is>
      </c>
    </row>
    <row r="14">
      <c r="A14" s="3" t="inlineStr">
        <is>
          <t>THE MEETING (45 MINUTES AT MOST)</t>
        </is>
      </c>
    </row>
    <row r="15" ht="32" customHeight="1">
      <c r="A15" s="4" t="inlineStr">
        <is>
          <t>1. Report (2 min per team)</t>
        </is>
      </c>
      <c r="B15" s="5" t="inlineStr">
        <is>
          <t>Last cycle's goal, the target and the actual number. Hit or missed. Fill in Actual on the Goals sheet.</t>
        </is>
      </c>
    </row>
    <row r="16" ht="46" customHeight="1">
      <c r="A16" s="4" t="inlineStr">
        <is>
          <t>2. Candid round (2 min per team)</t>
        </is>
      </c>
      <c r="B16" s="5" t="inlineStr">
        <is>
          <t>Hit it? The group asks why it was not bigger. Missed it? The group asks why, and what changes. The team writes both answers into the Goals sheet.</t>
        </is>
      </c>
    </row>
    <row r="17" ht="46" customHeight="1">
      <c r="A17" s="4" t="inlineStr">
        <is>
          <t>3. Next goal (3 min per team)</t>
        </is>
      </c>
      <c r="B17" s="5" t="inlineStr">
        <is>
          <t>One goal for the next two weeks, one sentence with a number and a date. The group runs the goal test below and calls it too small, right or too big.</t>
        </is>
      </c>
    </row>
    <row r="18" ht="32" customHeight="1">
      <c r="A18" s="4" t="inlineStr">
        <is>
          <t>4. One ask</t>
        </is>
      </c>
      <c r="B18" s="5" t="inlineStr">
        <is>
          <t>Each team names one thing the group can help with: an intro, a review, a test user.</t>
        </is>
      </c>
    </row>
    <row r="20">
      <c r="A20" s="3" t="inlineStr">
        <is>
          <t>THE GOAL TEST</t>
        </is>
      </c>
    </row>
    <row r="21" ht="46" customHeight="1">
      <c r="A21" s="4" t="inlineStr">
        <is>
          <t>Learning?</t>
        </is>
      </c>
      <c r="B21" s="5" t="inlineStr">
        <is>
          <t>Does reaching it teach us something about customers that we do not know yet? Validated learning counts, activity does not.</t>
        </is>
      </c>
    </row>
    <row r="22" ht="46" customHeight="1">
      <c r="A22" s="4" t="inlineStr">
        <is>
          <t>Revenue?</t>
        </is>
      </c>
      <c r="B22" s="5" t="inlineStr">
        <is>
          <t>Does it bring a paying customer closer? Conversations, next steps, pilots and payments count. Followers, awards and grant forms do not.</t>
        </is>
      </c>
    </row>
    <row r="23" ht="32" customHeight="1">
      <c r="A23" s="4" t="inlineStr">
        <is>
          <t>Lasting?</t>
        </is>
      </c>
      <c r="B23" s="5" t="inlineStr">
        <is>
          <t>Does it build a business that can sustain itself, or only this week's to-do list?</t>
        </is>
      </c>
    </row>
    <row r="24" ht="32" customHeight="1">
      <c r="A24" s="4" t="inlineStr">
        <is>
          <t>Two no's</t>
        </is>
      </c>
      <c r="B24" s="5" t="inlineStr">
        <is>
          <t>If a goal fails two of the three questions, the team rewrites it before the meeting ends.</t>
        </is>
      </c>
    </row>
    <row r="26">
      <c r="A26" s="3" t="inlineStr">
        <is>
          <t>THE CANDID RULE</t>
        </is>
      </c>
    </row>
    <row r="27" ht="46" customHeight="1">
      <c r="A27" s="4" t="inlineStr">
        <is>
          <t>Hit every time?</t>
        </is>
      </c>
      <c r="B27" s="5" t="inlineStr">
        <is>
          <t>Then the goals are too small. A team that hits every goal is not stretching. Aim for goals you hit about two times in three.</t>
        </is>
      </c>
    </row>
    <row r="28" ht="46" customHeight="1">
      <c r="A28" s="4" t="inlineStr">
        <is>
          <t>Miss every time?</t>
        </is>
      </c>
      <c r="B28" s="5" t="inlineStr">
        <is>
          <t>Then the goals are too big or the focus is off. Cut the goal to what the team controls, and ask the group what blocked it.</t>
        </is>
      </c>
    </row>
    <row r="29" ht="32" customHeight="1">
      <c r="A29" s="4" t="inlineStr">
        <is>
          <t>Confidential</t>
        </is>
      </c>
      <c r="B29" s="5" t="inlineStr">
        <is>
          <t>What a team shares in the group stays in the group.</t>
        </is>
      </c>
    </row>
    <row r="31">
      <c r="A31" s="3" t="inlineStr">
        <is>
          <t>THE SHEETS</t>
        </is>
      </c>
    </row>
    <row r="32" ht="32" customHeight="1">
      <c r="A32" s="4" t="inlineStr">
        <is>
          <t>Group</t>
        </is>
      </c>
      <c r="B32" s="5" t="inlineStr">
        <is>
          <t>One row per team, with its venture in one line and the host order.</t>
        </is>
      </c>
    </row>
    <row r="33" ht="32" customHeight="1">
      <c r="A33" s="4" t="inlineStr">
        <is>
          <t>Goals</t>
        </is>
      </c>
      <c r="B33" s="5" t="inlineStr">
        <is>
          <t>One row per team and cycle. The left half is filled when the goal is set, the right half two weeks later.</t>
        </is>
      </c>
    </row>
    <row r="34" ht="32" customHeight="1">
      <c r="A34" s="4" t="inlineStr">
        <is>
          <t>Scoreboard</t>
        </is>
      </c>
      <c r="B34" s="5" t="inlineStr">
        <is>
          <t>Fills itself. Hit rate and average share of target per team, with a hint whether to raise the bar.</t>
        </is>
      </c>
    </row>
    <row r="35" ht="32" customHeight="1">
      <c r="A35" s="4" t="inlineStr">
        <is>
          <t>Examples</t>
        </is>
      </c>
      <c r="B35" s="5" t="inlineStr">
        <is>
          <t>Weak goals next to good ones, so you know what to aim for.</t>
        </is>
      </c>
    </row>
    <row r="37" ht="32" customHeight="1">
      <c r="A37" s="6" t="inlineStr">
        <is>
          <t>Ambitious Entrepreneurship, Module 00 and 01. Y Combinator runs its batches in groups that meet every two weeks with the same questions. The two-in-three rule follows Google's OKR guidance that a 60 to 70% average signals ambitious stretch goals.</t>
        </is>
      </c>
    </row>
  </sheetData>
  <mergeCells count="1">
    <mergeCell ref="A37:B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20" customWidth="1" min="1" max="1"/>
    <col width="48" customWidth="1" min="2" max="2"/>
    <col width="30" customWidth="1" min="3" max="3"/>
    <col width="30" customWidth="1" min="4" max="4"/>
    <col width="30" customWidth="1" min="5" max="5"/>
    <col width="12" customWidth="1" min="6" max="6"/>
  </cols>
  <sheetData>
    <row r="1">
      <c r="A1" s="1" t="inlineStr">
        <is>
          <t>GROUP</t>
        </is>
      </c>
    </row>
    <row r="2">
      <c r="A2" s="2" t="inlineStr">
        <is>
          <t>One row per team. Keep it to 3 to 7 teams. The host order rotates through this list.</t>
        </is>
      </c>
    </row>
    <row r="4" ht="46" customHeight="1">
      <c r="A4" s="7" t="inlineStr">
        <is>
          <t>Team</t>
        </is>
      </c>
      <c r="B4" s="7" t="inlineStr">
        <is>
          <t>Venture in one line</t>
        </is>
      </c>
      <c r="C4" s="7" t="inlineStr">
        <is>
          <t>Founders</t>
        </is>
      </c>
      <c r="D4" s="7" t="inlineStr">
        <is>
          <t>Contact</t>
        </is>
      </c>
      <c r="E4" s="7" t="inlineStr">
        <is>
          <t>Evidence level today</t>
        </is>
      </c>
      <c r="F4" s="7" t="inlineStr">
        <is>
          <t>Hosts cycle</t>
        </is>
      </c>
    </row>
    <row r="5" ht="30" customHeight="1">
      <c r="A5" s="5" t="n"/>
      <c r="B5" s="5" t="n"/>
      <c r="C5" s="5" t="n"/>
      <c r="D5" s="5" t="n"/>
      <c r="E5" s="5" t="n"/>
      <c r="F5" s="8">
        <f>IF(A5="","","1, "&amp;(1+COUNTA($A$5:$A$11)))</f>
        <v/>
      </c>
    </row>
    <row r="6" ht="30" customHeight="1">
      <c r="A6" s="5" t="n"/>
      <c r="B6" s="5" t="n"/>
      <c r="C6" s="5" t="n"/>
      <c r="D6" s="5" t="n"/>
      <c r="E6" s="5" t="n"/>
      <c r="F6" s="8">
        <f>IF(A6="","","2, "&amp;(2+COUNTA($A$5:$A$11)))</f>
        <v/>
      </c>
    </row>
    <row r="7" ht="30" customHeight="1">
      <c r="A7" s="5" t="n"/>
      <c r="B7" s="5" t="n"/>
      <c r="C7" s="5" t="n"/>
      <c r="D7" s="5" t="n"/>
      <c r="E7" s="5" t="n"/>
      <c r="F7" s="8">
        <f>IF(A7="","","3, "&amp;(3+COUNTA($A$5:$A$11)))</f>
        <v/>
      </c>
    </row>
    <row r="8" ht="30" customHeight="1">
      <c r="A8" s="5" t="n"/>
      <c r="B8" s="5" t="n"/>
      <c r="C8" s="5" t="n"/>
      <c r="D8" s="5" t="n"/>
      <c r="E8" s="5" t="n"/>
      <c r="F8" s="8">
        <f>IF(A8="","","4, "&amp;(4+COUNTA($A$5:$A$11)))</f>
        <v/>
      </c>
    </row>
    <row r="9" ht="30" customHeight="1">
      <c r="A9" s="5" t="n"/>
      <c r="B9" s="5" t="n"/>
      <c r="C9" s="5" t="n"/>
      <c r="D9" s="5" t="n"/>
      <c r="E9" s="5" t="n"/>
      <c r="F9" s="8">
        <f>IF(A9="","","5, "&amp;(5+COUNTA($A$5:$A$11)))</f>
        <v/>
      </c>
    </row>
    <row r="10" ht="30" customHeight="1">
      <c r="A10" s="5" t="n"/>
      <c r="B10" s="5" t="n"/>
      <c r="C10" s="5" t="n"/>
      <c r="D10" s="5" t="n"/>
      <c r="E10" s="5" t="n"/>
      <c r="F10" s="8">
        <f>IF(A10="","","6, "&amp;(6+COUNTA($A$5:$A$11)))</f>
        <v/>
      </c>
    </row>
    <row r="11" ht="30" customHeight="1">
      <c r="A11" s="5" t="n"/>
      <c r="B11" s="5" t="n"/>
      <c r="C11" s="5" t="n"/>
      <c r="D11" s="5" t="n"/>
      <c r="E11" s="5" t="n"/>
      <c r="F11" s="8">
        <f>IF(A11="","","7, "&amp;(7+COUNTA($A$5:$A$11)))</f>
        <v/>
      </c>
    </row>
  </sheetData>
  <dataValidations count="1">
    <dataValidation sqref="E5 E6 E7 E8 E9 E10 E11" showDropDown="0" showInputMessage="0" showErrorMessage="0" allowBlank="1" type="list">
      <formula1>"None (our opinion),Anecdotal,Qualitative interviews,Quantitative (survey or landing page),Wireframe mockup,Functional prototype,Paid"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8" customWidth="1" min="3" max="3"/>
    <col width="52" customWidth="1" min="4" max="4"/>
    <col width="22" customWidth="1" min="5" max="5"/>
    <col width="10" customWidth="1" min="6" max="6"/>
    <col width="11" customWidth="1" min="7" max="7"/>
    <col width="11" customWidth="1" min="8" max="8"/>
    <col width="11" customWidth="1" min="9" max="9"/>
    <col width="15" customWidth="1" min="10" max="10"/>
    <col width="10" customWidth="1" min="11" max="11"/>
    <col width="11" customWidth="1" min="12" max="12"/>
    <col width="10" customWidth="1" min="13" max="13"/>
    <col width="42" customWidth="1" min="14" max="14"/>
    <col width="36" customWidth="1" min="15" max="15"/>
    <col width="30" customWidth="1" min="16" max="16"/>
  </cols>
  <sheetData>
    <row r="1">
      <c r="A1" s="1" t="inlineStr">
        <is>
          <t>GOALS</t>
        </is>
      </c>
    </row>
    <row r="2">
      <c r="A2" s="2" t="inlineStr">
        <is>
          <t>Left half when the goal is set. Right half two weeks later. One row per team and cycle.</t>
        </is>
      </c>
    </row>
    <row r="3">
      <c r="A3" s="3" t="inlineStr">
        <is>
          <t>SET THE GOAL</t>
        </is>
      </c>
      <c r="K3" s="3" t="inlineStr">
        <is>
          <t>TWO WEEKS LATER</t>
        </is>
      </c>
    </row>
    <row r="4" ht="46" customHeight="1">
      <c r="A4" s="7" t="inlineStr">
        <is>
          <t>Cycle</t>
        </is>
      </c>
      <c r="B4" s="7" t="inlineStr">
        <is>
          <t>Meeting date</t>
        </is>
      </c>
      <c r="C4" s="7" t="inlineStr">
        <is>
          <t>Team</t>
        </is>
      </c>
      <c r="D4" s="7" t="inlineStr">
        <is>
          <t>Two-week goal (one sentence, with a number and a date)</t>
        </is>
      </c>
      <c r="E4" s="7" t="inlineStr">
        <is>
          <t>Metric</t>
        </is>
      </c>
      <c r="F4" s="7" t="inlineStr">
        <is>
          <t>Target</t>
        </is>
      </c>
      <c r="G4" s="7" t="inlineStr">
        <is>
          <t>Learning?</t>
        </is>
      </c>
      <c r="H4" s="7" t="inlineStr">
        <is>
          <t>Revenue?</t>
        </is>
      </c>
      <c r="I4" s="7" t="inlineStr">
        <is>
          <t>Lasting?</t>
        </is>
      </c>
      <c r="J4" s="7" t="inlineStr">
        <is>
          <t>Group: ambition</t>
        </is>
      </c>
      <c r="K4" s="7" t="inlineStr">
        <is>
          <t>Actual</t>
        </is>
      </c>
      <c r="L4" s="7" t="inlineStr">
        <is>
          <t>Share of target</t>
        </is>
      </c>
      <c r="M4" s="7" t="inlineStr">
        <is>
          <t>Result</t>
        </is>
      </c>
      <c r="N4" s="7" t="inlineStr">
        <is>
          <t>Why hit or missed (candid)</t>
        </is>
      </c>
      <c r="O4" s="7" t="inlineStr">
        <is>
          <t>What changes next cycle</t>
        </is>
      </c>
      <c r="P4" s="7" t="inlineStr">
        <is>
          <t>One ask to the group</t>
        </is>
      </c>
    </row>
    <row r="5" ht="30" customHeight="1">
      <c r="A5" s="8" t="n"/>
      <c r="B5" s="9" t="n"/>
      <c r="C5" s="5" t="n"/>
      <c r="D5" s="5" t="n"/>
      <c r="E5" s="5" t="n"/>
      <c r="F5" s="8" t="n"/>
      <c r="G5" s="8" t="n"/>
      <c r="H5" s="8" t="n"/>
      <c r="I5" s="8" t="n"/>
      <c r="J5" s="8" t="n"/>
      <c r="K5" s="10" t="n"/>
      <c r="L5" s="11">
        <f>IF(OR(F5="",K5=""),"",K5/F5)</f>
        <v/>
      </c>
      <c r="M5" s="10">
        <f>IF(L5="","",IF(L5&gt;=1,"Hit","Missed"))</f>
        <v/>
      </c>
      <c r="N5" s="12" t="n"/>
      <c r="O5" s="12" t="n"/>
      <c r="P5" s="12" t="n"/>
    </row>
    <row r="6" ht="30" customHeight="1">
      <c r="A6" s="8" t="n"/>
      <c r="B6" s="9" t="n"/>
      <c r="C6" s="5" t="n"/>
      <c r="D6" s="5" t="n"/>
      <c r="E6" s="5" t="n"/>
      <c r="F6" s="8" t="n"/>
      <c r="G6" s="8" t="n"/>
      <c r="H6" s="8" t="n"/>
      <c r="I6" s="8" t="n"/>
      <c r="J6" s="8" t="n"/>
      <c r="K6" s="10" t="n"/>
      <c r="L6" s="11">
        <f>IF(OR(F6="",K6=""),"",K6/F6)</f>
        <v/>
      </c>
      <c r="M6" s="10">
        <f>IF(L6="","",IF(L6&gt;=1,"Hit","Missed"))</f>
        <v/>
      </c>
      <c r="N6" s="12" t="n"/>
      <c r="O6" s="12" t="n"/>
      <c r="P6" s="12" t="n"/>
    </row>
    <row r="7" ht="30" customHeight="1">
      <c r="A7" s="8" t="n"/>
      <c r="B7" s="9" t="n"/>
      <c r="C7" s="5" t="n"/>
      <c r="D7" s="5" t="n"/>
      <c r="E7" s="5" t="n"/>
      <c r="F7" s="8" t="n"/>
      <c r="G7" s="8" t="n"/>
      <c r="H7" s="8" t="n"/>
      <c r="I7" s="8" t="n"/>
      <c r="J7" s="8" t="n"/>
      <c r="K7" s="10" t="n"/>
      <c r="L7" s="11">
        <f>IF(OR(F7="",K7=""),"",K7/F7)</f>
        <v/>
      </c>
      <c r="M7" s="10">
        <f>IF(L7="","",IF(L7&gt;=1,"Hit","Missed"))</f>
        <v/>
      </c>
      <c r="N7" s="12" t="n"/>
      <c r="O7" s="12" t="n"/>
      <c r="P7" s="12" t="n"/>
    </row>
    <row r="8" ht="30" customHeight="1">
      <c r="A8" s="8" t="n"/>
      <c r="B8" s="9" t="n"/>
      <c r="C8" s="5" t="n"/>
      <c r="D8" s="5" t="n"/>
      <c r="E8" s="5" t="n"/>
      <c r="F8" s="8" t="n"/>
      <c r="G8" s="8" t="n"/>
      <c r="H8" s="8" t="n"/>
      <c r="I8" s="8" t="n"/>
      <c r="J8" s="8" t="n"/>
      <c r="K8" s="10" t="n"/>
      <c r="L8" s="11">
        <f>IF(OR(F8="",K8=""),"",K8/F8)</f>
        <v/>
      </c>
      <c r="M8" s="10">
        <f>IF(L8="","",IF(L8&gt;=1,"Hit","Missed"))</f>
        <v/>
      </c>
      <c r="N8" s="12" t="n"/>
      <c r="O8" s="12" t="n"/>
      <c r="P8" s="12" t="n"/>
    </row>
    <row r="9" ht="30" customHeight="1">
      <c r="A9" s="8" t="n"/>
      <c r="B9" s="9" t="n"/>
      <c r="C9" s="5" t="n"/>
      <c r="D9" s="5" t="n"/>
      <c r="E9" s="5" t="n"/>
      <c r="F9" s="8" t="n"/>
      <c r="G9" s="8" t="n"/>
      <c r="H9" s="8" t="n"/>
      <c r="I9" s="8" t="n"/>
      <c r="J9" s="8" t="n"/>
      <c r="K9" s="10" t="n"/>
      <c r="L9" s="11">
        <f>IF(OR(F9="",K9=""),"",K9/F9)</f>
        <v/>
      </c>
      <c r="M9" s="10">
        <f>IF(L9="","",IF(L9&gt;=1,"Hit","Missed"))</f>
        <v/>
      </c>
      <c r="N9" s="12" t="n"/>
      <c r="O9" s="12" t="n"/>
      <c r="P9" s="12" t="n"/>
    </row>
    <row r="10" ht="30" customHeight="1">
      <c r="A10" s="8" t="n"/>
      <c r="B10" s="9" t="n"/>
      <c r="C10" s="5" t="n"/>
      <c r="D10" s="5" t="n"/>
      <c r="E10" s="5" t="n"/>
      <c r="F10" s="8" t="n"/>
      <c r="G10" s="8" t="n"/>
      <c r="H10" s="8" t="n"/>
      <c r="I10" s="8" t="n"/>
      <c r="J10" s="8" t="n"/>
      <c r="K10" s="10" t="n"/>
      <c r="L10" s="11">
        <f>IF(OR(F10="",K10=""),"",K10/F10)</f>
        <v/>
      </c>
      <c r="M10" s="10">
        <f>IF(L10="","",IF(L10&gt;=1,"Hit","Missed"))</f>
        <v/>
      </c>
      <c r="N10" s="12" t="n"/>
      <c r="O10" s="12" t="n"/>
      <c r="P10" s="12" t="n"/>
    </row>
    <row r="11" ht="30" customHeight="1">
      <c r="A11" s="8" t="n"/>
      <c r="B11" s="9" t="n"/>
      <c r="C11" s="5" t="n"/>
      <c r="D11" s="5" t="n"/>
      <c r="E11" s="5" t="n"/>
      <c r="F11" s="8" t="n"/>
      <c r="G11" s="8" t="n"/>
      <c r="H11" s="8" t="n"/>
      <c r="I11" s="8" t="n"/>
      <c r="J11" s="8" t="n"/>
      <c r="K11" s="10" t="n"/>
      <c r="L11" s="11">
        <f>IF(OR(F11="",K11=""),"",K11/F11)</f>
        <v/>
      </c>
      <c r="M11" s="10">
        <f>IF(L11="","",IF(L11&gt;=1,"Hit","Missed"))</f>
        <v/>
      </c>
      <c r="N11" s="12" t="n"/>
      <c r="O11" s="12" t="n"/>
      <c r="P11" s="12" t="n"/>
    </row>
    <row r="12" ht="30" customHeight="1">
      <c r="A12" s="8" t="n"/>
      <c r="B12" s="9" t="n"/>
      <c r="C12" s="5" t="n"/>
      <c r="D12" s="5" t="n"/>
      <c r="E12" s="5" t="n"/>
      <c r="F12" s="8" t="n"/>
      <c r="G12" s="8" t="n"/>
      <c r="H12" s="8" t="n"/>
      <c r="I12" s="8" t="n"/>
      <c r="J12" s="8" t="n"/>
      <c r="K12" s="10" t="n"/>
      <c r="L12" s="11">
        <f>IF(OR(F12="",K12=""),"",K12/F12)</f>
        <v/>
      </c>
      <c r="M12" s="10">
        <f>IF(L12="","",IF(L12&gt;=1,"Hit","Missed"))</f>
        <v/>
      </c>
      <c r="N12" s="12" t="n"/>
      <c r="O12" s="12" t="n"/>
      <c r="P12" s="12" t="n"/>
    </row>
    <row r="13" ht="30" customHeight="1">
      <c r="A13" s="8" t="n"/>
      <c r="B13" s="9" t="n"/>
      <c r="C13" s="5" t="n"/>
      <c r="D13" s="5" t="n"/>
      <c r="E13" s="5" t="n"/>
      <c r="F13" s="8" t="n"/>
      <c r="G13" s="8" t="n"/>
      <c r="H13" s="8" t="n"/>
      <c r="I13" s="8" t="n"/>
      <c r="J13" s="8" t="n"/>
      <c r="K13" s="10" t="n"/>
      <c r="L13" s="11">
        <f>IF(OR(F13="",K13=""),"",K13/F13)</f>
        <v/>
      </c>
      <c r="M13" s="10">
        <f>IF(L13="","",IF(L13&gt;=1,"Hit","Missed"))</f>
        <v/>
      </c>
      <c r="N13" s="12" t="n"/>
      <c r="O13" s="12" t="n"/>
      <c r="P13" s="12" t="n"/>
    </row>
    <row r="14" ht="30" customHeight="1">
      <c r="A14" s="8" t="n"/>
      <c r="B14" s="9" t="n"/>
      <c r="C14" s="5" t="n"/>
      <c r="D14" s="5" t="n"/>
      <c r="E14" s="5" t="n"/>
      <c r="F14" s="8" t="n"/>
      <c r="G14" s="8" t="n"/>
      <c r="H14" s="8" t="n"/>
      <c r="I14" s="8" t="n"/>
      <c r="J14" s="8" t="n"/>
      <c r="K14" s="10" t="n"/>
      <c r="L14" s="11">
        <f>IF(OR(F14="",K14=""),"",K14/F14)</f>
        <v/>
      </c>
      <c r="M14" s="10">
        <f>IF(L14="","",IF(L14&gt;=1,"Hit","Missed"))</f>
        <v/>
      </c>
      <c r="N14" s="12" t="n"/>
      <c r="O14" s="12" t="n"/>
      <c r="P14" s="12" t="n"/>
    </row>
    <row r="15" ht="30" customHeight="1">
      <c r="A15" s="8" t="n"/>
      <c r="B15" s="9" t="n"/>
      <c r="C15" s="5" t="n"/>
      <c r="D15" s="5" t="n"/>
      <c r="E15" s="5" t="n"/>
      <c r="F15" s="8" t="n"/>
      <c r="G15" s="8" t="n"/>
      <c r="H15" s="8" t="n"/>
      <c r="I15" s="8" t="n"/>
      <c r="J15" s="8" t="n"/>
      <c r="K15" s="10" t="n"/>
      <c r="L15" s="11">
        <f>IF(OR(F15="",K15=""),"",K15/F15)</f>
        <v/>
      </c>
      <c r="M15" s="10">
        <f>IF(L15="","",IF(L15&gt;=1,"Hit","Missed"))</f>
        <v/>
      </c>
      <c r="N15" s="12" t="n"/>
      <c r="O15" s="12" t="n"/>
      <c r="P15" s="12" t="n"/>
    </row>
    <row r="16" ht="30" customHeight="1">
      <c r="A16" s="8" t="n"/>
      <c r="B16" s="9" t="n"/>
      <c r="C16" s="5" t="n"/>
      <c r="D16" s="5" t="n"/>
      <c r="E16" s="5" t="n"/>
      <c r="F16" s="8" t="n"/>
      <c r="G16" s="8" t="n"/>
      <c r="H16" s="8" t="n"/>
      <c r="I16" s="8" t="n"/>
      <c r="J16" s="8" t="n"/>
      <c r="K16" s="10" t="n"/>
      <c r="L16" s="11">
        <f>IF(OR(F16="",K16=""),"",K16/F16)</f>
        <v/>
      </c>
      <c r="M16" s="10">
        <f>IF(L16="","",IF(L16&gt;=1,"Hit","Missed"))</f>
        <v/>
      </c>
      <c r="N16" s="12" t="n"/>
      <c r="O16" s="12" t="n"/>
      <c r="P16" s="12" t="n"/>
    </row>
    <row r="17" ht="30" customHeight="1">
      <c r="A17" s="8" t="n"/>
      <c r="B17" s="9" t="n"/>
      <c r="C17" s="5" t="n"/>
      <c r="D17" s="5" t="n"/>
      <c r="E17" s="5" t="n"/>
      <c r="F17" s="8" t="n"/>
      <c r="G17" s="8" t="n"/>
      <c r="H17" s="8" t="n"/>
      <c r="I17" s="8" t="n"/>
      <c r="J17" s="8" t="n"/>
      <c r="K17" s="10" t="n"/>
      <c r="L17" s="11">
        <f>IF(OR(F17="",K17=""),"",K17/F17)</f>
        <v/>
      </c>
      <c r="M17" s="10">
        <f>IF(L17="","",IF(L17&gt;=1,"Hit","Missed"))</f>
        <v/>
      </c>
      <c r="N17" s="12" t="n"/>
      <c r="O17" s="12" t="n"/>
      <c r="P17" s="12" t="n"/>
    </row>
    <row r="18" ht="30" customHeight="1">
      <c r="A18" s="8" t="n"/>
      <c r="B18" s="9" t="n"/>
      <c r="C18" s="5" t="n"/>
      <c r="D18" s="5" t="n"/>
      <c r="E18" s="5" t="n"/>
      <c r="F18" s="8" t="n"/>
      <c r="G18" s="8" t="n"/>
      <c r="H18" s="8" t="n"/>
      <c r="I18" s="8" t="n"/>
      <c r="J18" s="8" t="n"/>
      <c r="K18" s="10" t="n"/>
      <c r="L18" s="11">
        <f>IF(OR(F18="",K18=""),"",K18/F18)</f>
        <v/>
      </c>
      <c r="M18" s="10">
        <f>IF(L18="","",IF(L18&gt;=1,"Hit","Missed"))</f>
        <v/>
      </c>
      <c r="N18" s="12" t="n"/>
      <c r="O18" s="12" t="n"/>
      <c r="P18" s="12" t="n"/>
    </row>
    <row r="19" ht="30" customHeight="1">
      <c r="A19" s="8" t="n"/>
      <c r="B19" s="9" t="n"/>
      <c r="C19" s="5" t="n"/>
      <c r="D19" s="5" t="n"/>
      <c r="E19" s="5" t="n"/>
      <c r="F19" s="8" t="n"/>
      <c r="G19" s="8" t="n"/>
      <c r="H19" s="8" t="n"/>
      <c r="I19" s="8" t="n"/>
      <c r="J19" s="8" t="n"/>
      <c r="K19" s="10" t="n"/>
      <c r="L19" s="11">
        <f>IF(OR(F19="",K19=""),"",K19/F19)</f>
        <v/>
      </c>
      <c r="M19" s="10">
        <f>IF(L19="","",IF(L19&gt;=1,"Hit","Missed"))</f>
        <v/>
      </c>
      <c r="N19" s="12" t="n"/>
      <c r="O19" s="12" t="n"/>
      <c r="P19" s="12" t="n"/>
    </row>
    <row r="20" ht="30" customHeight="1">
      <c r="A20" s="8" t="n"/>
      <c r="B20" s="9" t="n"/>
      <c r="C20" s="5" t="n"/>
      <c r="D20" s="5" t="n"/>
      <c r="E20" s="5" t="n"/>
      <c r="F20" s="8" t="n"/>
      <c r="G20" s="8" t="n"/>
      <c r="H20" s="8" t="n"/>
      <c r="I20" s="8" t="n"/>
      <c r="J20" s="8" t="n"/>
      <c r="K20" s="10" t="n"/>
      <c r="L20" s="11">
        <f>IF(OR(F20="",K20=""),"",K20/F20)</f>
        <v/>
      </c>
      <c r="M20" s="10">
        <f>IF(L20="","",IF(L20&gt;=1,"Hit","Missed"))</f>
        <v/>
      </c>
      <c r="N20" s="12" t="n"/>
      <c r="O20" s="12" t="n"/>
      <c r="P20" s="12" t="n"/>
    </row>
    <row r="21" ht="30" customHeight="1">
      <c r="A21" s="8" t="n"/>
      <c r="B21" s="9" t="n"/>
      <c r="C21" s="5" t="n"/>
      <c r="D21" s="5" t="n"/>
      <c r="E21" s="5" t="n"/>
      <c r="F21" s="8" t="n"/>
      <c r="G21" s="8" t="n"/>
      <c r="H21" s="8" t="n"/>
      <c r="I21" s="8" t="n"/>
      <c r="J21" s="8" t="n"/>
      <c r="K21" s="10" t="n"/>
      <c r="L21" s="11">
        <f>IF(OR(F21="",K21=""),"",K21/F21)</f>
        <v/>
      </c>
      <c r="M21" s="10">
        <f>IF(L21="","",IF(L21&gt;=1,"Hit","Missed"))</f>
        <v/>
      </c>
      <c r="N21" s="12" t="n"/>
      <c r="O21" s="12" t="n"/>
      <c r="P21" s="12" t="n"/>
    </row>
    <row r="22" ht="30" customHeight="1">
      <c r="A22" s="8" t="n"/>
      <c r="B22" s="9" t="n"/>
      <c r="C22" s="5" t="n"/>
      <c r="D22" s="5" t="n"/>
      <c r="E22" s="5" t="n"/>
      <c r="F22" s="8" t="n"/>
      <c r="G22" s="8" t="n"/>
      <c r="H22" s="8" t="n"/>
      <c r="I22" s="8" t="n"/>
      <c r="J22" s="8" t="n"/>
      <c r="K22" s="10" t="n"/>
      <c r="L22" s="11">
        <f>IF(OR(F22="",K22=""),"",K22/F22)</f>
        <v/>
      </c>
      <c r="M22" s="10">
        <f>IF(L22="","",IF(L22&gt;=1,"Hit","Missed"))</f>
        <v/>
      </c>
      <c r="N22" s="12" t="n"/>
      <c r="O22" s="12" t="n"/>
      <c r="P22" s="12" t="n"/>
    </row>
    <row r="23" ht="30" customHeight="1">
      <c r="A23" s="8" t="n"/>
      <c r="B23" s="9" t="n"/>
      <c r="C23" s="5" t="n"/>
      <c r="D23" s="5" t="n"/>
      <c r="E23" s="5" t="n"/>
      <c r="F23" s="8" t="n"/>
      <c r="G23" s="8" t="n"/>
      <c r="H23" s="8" t="n"/>
      <c r="I23" s="8" t="n"/>
      <c r="J23" s="8" t="n"/>
      <c r="K23" s="10" t="n"/>
      <c r="L23" s="11">
        <f>IF(OR(F23="",K23=""),"",K23/F23)</f>
        <v/>
      </c>
      <c r="M23" s="10">
        <f>IF(L23="","",IF(L23&gt;=1,"Hit","Missed"))</f>
        <v/>
      </c>
      <c r="N23" s="12" t="n"/>
      <c r="O23" s="12" t="n"/>
      <c r="P23" s="12" t="n"/>
    </row>
    <row r="24" ht="30" customHeight="1">
      <c r="A24" s="8" t="n"/>
      <c r="B24" s="9" t="n"/>
      <c r="C24" s="5" t="n"/>
      <c r="D24" s="5" t="n"/>
      <c r="E24" s="5" t="n"/>
      <c r="F24" s="8" t="n"/>
      <c r="G24" s="8" t="n"/>
      <c r="H24" s="8" t="n"/>
      <c r="I24" s="8" t="n"/>
      <c r="J24" s="8" t="n"/>
      <c r="K24" s="10" t="n"/>
      <c r="L24" s="11">
        <f>IF(OR(F24="",K24=""),"",K24/F24)</f>
        <v/>
      </c>
      <c r="M24" s="10">
        <f>IF(L24="","",IF(L24&gt;=1,"Hit","Missed"))</f>
        <v/>
      </c>
      <c r="N24" s="12" t="n"/>
      <c r="O24" s="12" t="n"/>
      <c r="P24" s="12" t="n"/>
    </row>
    <row r="25" ht="30" customHeight="1">
      <c r="A25" s="8" t="n"/>
      <c r="B25" s="9" t="n"/>
      <c r="C25" s="5" t="n"/>
      <c r="D25" s="5" t="n"/>
      <c r="E25" s="5" t="n"/>
      <c r="F25" s="8" t="n"/>
      <c r="G25" s="8" t="n"/>
      <c r="H25" s="8" t="n"/>
      <c r="I25" s="8" t="n"/>
      <c r="J25" s="8" t="n"/>
      <c r="K25" s="10" t="n"/>
      <c r="L25" s="11">
        <f>IF(OR(F25="",K25=""),"",K25/F25)</f>
        <v/>
      </c>
      <c r="M25" s="10">
        <f>IF(L25="","",IF(L25&gt;=1,"Hit","Missed"))</f>
        <v/>
      </c>
      <c r="N25" s="12" t="n"/>
      <c r="O25" s="12" t="n"/>
      <c r="P25" s="12" t="n"/>
    </row>
    <row r="26" ht="30" customHeight="1">
      <c r="A26" s="8" t="n"/>
      <c r="B26" s="9" t="n"/>
      <c r="C26" s="5" t="n"/>
      <c r="D26" s="5" t="n"/>
      <c r="E26" s="5" t="n"/>
      <c r="F26" s="8" t="n"/>
      <c r="G26" s="8" t="n"/>
      <c r="H26" s="8" t="n"/>
      <c r="I26" s="8" t="n"/>
      <c r="J26" s="8" t="n"/>
      <c r="K26" s="10" t="n"/>
      <c r="L26" s="11">
        <f>IF(OR(F26="",K26=""),"",K26/F26)</f>
        <v/>
      </c>
      <c r="M26" s="10">
        <f>IF(L26="","",IF(L26&gt;=1,"Hit","Missed"))</f>
        <v/>
      </c>
      <c r="N26" s="12" t="n"/>
      <c r="O26" s="12" t="n"/>
      <c r="P26" s="12" t="n"/>
    </row>
    <row r="27" ht="30" customHeight="1">
      <c r="A27" s="8" t="n"/>
      <c r="B27" s="9" t="n"/>
      <c r="C27" s="5" t="n"/>
      <c r="D27" s="5" t="n"/>
      <c r="E27" s="5" t="n"/>
      <c r="F27" s="8" t="n"/>
      <c r="G27" s="8" t="n"/>
      <c r="H27" s="8" t="n"/>
      <c r="I27" s="8" t="n"/>
      <c r="J27" s="8" t="n"/>
      <c r="K27" s="10" t="n"/>
      <c r="L27" s="11">
        <f>IF(OR(F27="",K27=""),"",K27/F27)</f>
        <v/>
      </c>
      <c r="M27" s="10">
        <f>IF(L27="","",IF(L27&gt;=1,"Hit","Missed"))</f>
        <v/>
      </c>
      <c r="N27" s="12" t="n"/>
      <c r="O27" s="12" t="n"/>
      <c r="P27" s="12" t="n"/>
    </row>
    <row r="28" ht="30" customHeight="1">
      <c r="A28" s="8" t="n"/>
      <c r="B28" s="9" t="n"/>
      <c r="C28" s="5" t="n"/>
      <c r="D28" s="5" t="n"/>
      <c r="E28" s="5" t="n"/>
      <c r="F28" s="8" t="n"/>
      <c r="G28" s="8" t="n"/>
      <c r="H28" s="8" t="n"/>
      <c r="I28" s="8" t="n"/>
      <c r="J28" s="8" t="n"/>
      <c r="K28" s="10" t="n"/>
      <c r="L28" s="11">
        <f>IF(OR(F28="",K28=""),"",K28/F28)</f>
        <v/>
      </c>
      <c r="M28" s="10">
        <f>IF(L28="","",IF(L28&gt;=1,"Hit","Missed"))</f>
        <v/>
      </c>
      <c r="N28" s="12" t="n"/>
      <c r="O28" s="12" t="n"/>
      <c r="P28" s="12" t="n"/>
    </row>
    <row r="29" ht="30" customHeight="1">
      <c r="A29" s="8" t="n"/>
      <c r="B29" s="9" t="n"/>
      <c r="C29" s="5" t="n"/>
      <c r="D29" s="5" t="n"/>
      <c r="E29" s="5" t="n"/>
      <c r="F29" s="8" t="n"/>
      <c r="G29" s="8" t="n"/>
      <c r="H29" s="8" t="n"/>
      <c r="I29" s="8" t="n"/>
      <c r="J29" s="8" t="n"/>
      <c r="K29" s="10" t="n"/>
      <c r="L29" s="11">
        <f>IF(OR(F29="",K29=""),"",K29/F29)</f>
        <v/>
      </c>
      <c r="M29" s="10">
        <f>IF(L29="","",IF(L29&gt;=1,"Hit","Missed"))</f>
        <v/>
      </c>
      <c r="N29" s="12" t="n"/>
      <c r="O29" s="12" t="n"/>
      <c r="P29" s="12" t="n"/>
    </row>
    <row r="30" ht="30" customHeight="1">
      <c r="A30" s="8" t="n"/>
      <c r="B30" s="9" t="n"/>
      <c r="C30" s="5" t="n"/>
      <c r="D30" s="5" t="n"/>
      <c r="E30" s="5" t="n"/>
      <c r="F30" s="8" t="n"/>
      <c r="G30" s="8" t="n"/>
      <c r="H30" s="8" t="n"/>
      <c r="I30" s="8" t="n"/>
      <c r="J30" s="8" t="n"/>
      <c r="K30" s="10" t="n"/>
      <c r="L30" s="11">
        <f>IF(OR(F30="",K30=""),"",K30/F30)</f>
        <v/>
      </c>
      <c r="M30" s="10">
        <f>IF(L30="","",IF(L30&gt;=1,"Hit","Missed"))</f>
        <v/>
      </c>
      <c r="N30" s="12" t="n"/>
      <c r="O30" s="12" t="n"/>
      <c r="P30" s="12" t="n"/>
    </row>
    <row r="31" ht="30" customHeight="1">
      <c r="A31" s="8" t="n"/>
      <c r="B31" s="9" t="n"/>
      <c r="C31" s="5" t="n"/>
      <c r="D31" s="5" t="n"/>
      <c r="E31" s="5" t="n"/>
      <c r="F31" s="8" t="n"/>
      <c r="G31" s="8" t="n"/>
      <c r="H31" s="8" t="n"/>
      <c r="I31" s="8" t="n"/>
      <c r="J31" s="8" t="n"/>
      <c r="K31" s="10" t="n"/>
      <c r="L31" s="11">
        <f>IF(OR(F31="",K31=""),"",K31/F31)</f>
        <v/>
      </c>
      <c r="M31" s="10">
        <f>IF(L31="","",IF(L31&gt;=1,"Hit","Missed"))</f>
        <v/>
      </c>
      <c r="N31" s="12" t="n"/>
      <c r="O31" s="12" t="n"/>
      <c r="P31" s="12" t="n"/>
    </row>
    <row r="32" ht="30" customHeight="1">
      <c r="A32" s="8" t="n"/>
      <c r="B32" s="9" t="n"/>
      <c r="C32" s="5" t="n"/>
      <c r="D32" s="5" t="n"/>
      <c r="E32" s="5" t="n"/>
      <c r="F32" s="8" t="n"/>
      <c r="G32" s="8" t="n"/>
      <c r="H32" s="8" t="n"/>
      <c r="I32" s="8" t="n"/>
      <c r="J32" s="8" t="n"/>
      <c r="K32" s="10" t="n"/>
      <c r="L32" s="11">
        <f>IF(OR(F32="",K32=""),"",K32/F32)</f>
        <v/>
      </c>
      <c r="M32" s="10">
        <f>IF(L32="","",IF(L32&gt;=1,"Hit","Missed"))</f>
        <v/>
      </c>
      <c r="N32" s="12" t="n"/>
      <c r="O32" s="12" t="n"/>
      <c r="P32" s="12" t="n"/>
    </row>
    <row r="33" ht="30" customHeight="1">
      <c r="A33" s="8" t="n"/>
      <c r="B33" s="9" t="n"/>
      <c r="C33" s="5" t="n"/>
      <c r="D33" s="5" t="n"/>
      <c r="E33" s="5" t="n"/>
      <c r="F33" s="8" t="n"/>
      <c r="G33" s="8" t="n"/>
      <c r="H33" s="8" t="n"/>
      <c r="I33" s="8" t="n"/>
      <c r="J33" s="8" t="n"/>
      <c r="K33" s="10" t="n"/>
      <c r="L33" s="11">
        <f>IF(OR(F33="",K33=""),"",K33/F33)</f>
        <v/>
      </c>
      <c r="M33" s="10">
        <f>IF(L33="","",IF(L33&gt;=1,"Hit","Missed"))</f>
        <v/>
      </c>
      <c r="N33" s="12" t="n"/>
      <c r="O33" s="12" t="n"/>
      <c r="P33" s="12" t="n"/>
    </row>
    <row r="34" ht="30" customHeight="1">
      <c r="A34" s="8" t="n"/>
      <c r="B34" s="9" t="n"/>
      <c r="C34" s="5" t="n"/>
      <c r="D34" s="5" t="n"/>
      <c r="E34" s="5" t="n"/>
      <c r="F34" s="8" t="n"/>
      <c r="G34" s="8" t="n"/>
      <c r="H34" s="8" t="n"/>
      <c r="I34" s="8" t="n"/>
      <c r="J34" s="8" t="n"/>
      <c r="K34" s="10" t="n"/>
      <c r="L34" s="11">
        <f>IF(OR(F34="",K34=""),"",K34/F34)</f>
        <v/>
      </c>
      <c r="M34" s="10">
        <f>IF(L34="","",IF(L34&gt;=1,"Hit","Missed"))</f>
        <v/>
      </c>
      <c r="N34" s="12" t="n"/>
      <c r="O34" s="12" t="n"/>
      <c r="P34" s="12" t="n"/>
    </row>
    <row r="35" ht="30" customHeight="1">
      <c r="A35" s="8" t="n"/>
      <c r="B35" s="9" t="n"/>
      <c r="C35" s="5" t="n"/>
      <c r="D35" s="5" t="n"/>
      <c r="E35" s="5" t="n"/>
      <c r="F35" s="8" t="n"/>
      <c r="G35" s="8" t="n"/>
      <c r="H35" s="8" t="n"/>
      <c r="I35" s="8" t="n"/>
      <c r="J35" s="8" t="n"/>
      <c r="K35" s="10" t="n"/>
      <c r="L35" s="11">
        <f>IF(OR(F35="",K35=""),"",K35/F35)</f>
        <v/>
      </c>
      <c r="M35" s="10">
        <f>IF(L35="","",IF(L35&gt;=1,"Hit","Missed"))</f>
        <v/>
      </c>
      <c r="N35" s="12" t="n"/>
      <c r="O35" s="12" t="n"/>
      <c r="P35" s="12" t="n"/>
    </row>
    <row r="36" ht="30" customHeight="1">
      <c r="A36" s="8" t="n"/>
      <c r="B36" s="9" t="n"/>
      <c r="C36" s="5" t="n"/>
      <c r="D36" s="5" t="n"/>
      <c r="E36" s="5" t="n"/>
      <c r="F36" s="8" t="n"/>
      <c r="G36" s="8" t="n"/>
      <c r="H36" s="8" t="n"/>
      <c r="I36" s="8" t="n"/>
      <c r="J36" s="8" t="n"/>
      <c r="K36" s="10" t="n"/>
      <c r="L36" s="11">
        <f>IF(OR(F36="",K36=""),"",K36/F36)</f>
        <v/>
      </c>
      <c r="M36" s="10">
        <f>IF(L36="","",IF(L36&gt;=1,"Hit","Missed"))</f>
        <v/>
      </c>
      <c r="N36" s="12" t="n"/>
      <c r="O36" s="12" t="n"/>
      <c r="P36" s="12" t="n"/>
    </row>
    <row r="37" ht="30" customHeight="1">
      <c r="A37" s="8" t="n"/>
      <c r="B37" s="9" t="n"/>
      <c r="C37" s="5" t="n"/>
      <c r="D37" s="5" t="n"/>
      <c r="E37" s="5" t="n"/>
      <c r="F37" s="8" t="n"/>
      <c r="G37" s="8" t="n"/>
      <c r="H37" s="8" t="n"/>
      <c r="I37" s="8" t="n"/>
      <c r="J37" s="8" t="n"/>
      <c r="K37" s="10" t="n"/>
      <c r="L37" s="11">
        <f>IF(OR(F37="",K37=""),"",K37/F37)</f>
        <v/>
      </c>
      <c r="M37" s="10">
        <f>IF(L37="","",IF(L37&gt;=1,"Hit","Missed"))</f>
        <v/>
      </c>
      <c r="N37" s="12" t="n"/>
      <c r="O37" s="12" t="n"/>
      <c r="P37" s="12" t="n"/>
    </row>
    <row r="38" ht="30" customHeight="1">
      <c r="A38" s="8" t="n"/>
      <c r="B38" s="9" t="n"/>
      <c r="C38" s="5" t="n"/>
      <c r="D38" s="5" t="n"/>
      <c r="E38" s="5" t="n"/>
      <c r="F38" s="8" t="n"/>
      <c r="G38" s="8" t="n"/>
      <c r="H38" s="8" t="n"/>
      <c r="I38" s="8" t="n"/>
      <c r="J38" s="8" t="n"/>
      <c r="K38" s="10" t="n"/>
      <c r="L38" s="11">
        <f>IF(OR(F38="",K38=""),"",K38/F38)</f>
        <v/>
      </c>
      <c r="M38" s="10">
        <f>IF(L38="","",IF(L38&gt;=1,"Hit","Missed"))</f>
        <v/>
      </c>
      <c r="N38" s="12" t="n"/>
      <c r="O38" s="12" t="n"/>
      <c r="P38" s="12" t="n"/>
    </row>
    <row r="39" ht="30" customHeight="1">
      <c r="A39" s="8" t="n"/>
      <c r="B39" s="9" t="n"/>
      <c r="C39" s="5" t="n"/>
      <c r="D39" s="5" t="n"/>
      <c r="E39" s="5" t="n"/>
      <c r="F39" s="8" t="n"/>
      <c r="G39" s="8" t="n"/>
      <c r="H39" s="8" t="n"/>
      <c r="I39" s="8" t="n"/>
      <c r="J39" s="8" t="n"/>
      <c r="K39" s="10" t="n"/>
      <c r="L39" s="11">
        <f>IF(OR(F39="",K39=""),"",K39/F39)</f>
        <v/>
      </c>
      <c r="M39" s="10">
        <f>IF(L39="","",IF(L39&gt;=1,"Hit","Missed"))</f>
        <v/>
      </c>
      <c r="N39" s="12" t="n"/>
      <c r="O39" s="12" t="n"/>
      <c r="P39" s="12" t="n"/>
    </row>
    <row r="40" ht="30" customHeight="1">
      <c r="A40" s="8" t="n"/>
      <c r="B40" s="9" t="n"/>
      <c r="C40" s="5" t="n"/>
      <c r="D40" s="5" t="n"/>
      <c r="E40" s="5" t="n"/>
      <c r="F40" s="8" t="n"/>
      <c r="G40" s="8" t="n"/>
      <c r="H40" s="8" t="n"/>
      <c r="I40" s="8" t="n"/>
      <c r="J40" s="8" t="n"/>
      <c r="K40" s="10" t="n"/>
      <c r="L40" s="11">
        <f>IF(OR(F40="",K40=""),"",K40/F40)</f>
        <v/>
      </c>
      <c r="M40" s="10">
        <f>IF(L40="","",IF(L40&gt;=1,"Hit","Missed"))</f>
        <v/>
      </c>
      <c r="N40" s="12" t="n"/>
      <c r="O40" s="12" t="n"/>
      <c r="P40" s="12" t="n"/>
    </row>
    <row r="41" ht="30" customHeight="1">
      <c r="A41" s="8" t="n"/>
      <c r="B41" s="9" t="n"/>
      <c r="C41" s="5" t="n"/>
      <c r="D41" s="5" t="n"/>
      <c r="E41" s="5" t="n"/>
      <c r="F41" s="8" t="n"/>
      <c r="G41" s="8" t="n"/>
      <c r="H41" s="8" t="n"/>
      <c r="I41" s="8" t="n"/>
      <c r="J41" s="8" t="n"/>
      <c r="K41" s="10" t="n"/>
      <c r="L41" s="11">
        <f>IF(OR(F41="",K41=""),"",K41/F41)</f>
        <v/>
      </c>
      <c r="M41" s="10">
        <f>IF(L41="","",IF(L41&gt;=1,"Hit","Missed"))</f>
        <v/>
      </c>
      <c r="N41" s="12" t="n"/>
      <c r="O41" s="12" t="n"/>
      <c r="P41" s="12" t="n"/>
    </row>
    <row r="42" ht="30" customHeight="1">
      <c r="A42" s="8" t="n"/>
      <c r="B42" s="9" t="n"/>
      <c r="C42" s="5" t="n"/>
      <c r="D42" s="5" t="n"/>
      <c r="E42" s="5" t="n"/>
      <c r="F42" s="8" t="n"/>
      <c r="G42" s="8" t="n"/>
      <c r="H42" s="8" t="n"/>
      <c r="I42" s="8" t="n"/>
      <c r="J42" s="8" t="n"/>
      <c r="K42" s="10" t="n"/>
      <c r="L42" s="11">
        <f>IF(OR(F42="",K42=""),"",K42/F42)</f>
        <v/>
      </c>
      <c r="M42" s="10">
        <f>IF(L42="","",IF(L42&gt;=1,"Hit","Missed"))</f>
        <v/>
      </c>
      <c r="N42" s="12" t="n"/>
      <c r="O42" s="12" t="n"/>
      <c r="P42" s="12" t="n"/>
    </row>
    <row r="43" ht="30" customHeight="1">
      <c r="A43" s="8" t="n"/>
      <c r="B43" s="9" t="n"/>
      <c r="C43" s="5" t="n"/>
      <c r="D43" s="5" t="n"/>
      <c r="E43" s="5" t="n"/>
      <c r="F43" s="8" t="n"/>
      <c r="G43" s="8" t="n"/>
      <c r="H43" s="8" t="n"/>
      <c r="I43" s="8" t="n"/>
      <c r="J43" s="8" t="n"/>
      <c r="K43" s="10" t="n"/>
      <c r="L43" s="11">
        <f>IF(OR(F43="",K43=""),"",K43/F43)</f>
        <v/>
      </c>
      <c r="M43" s="10">
        <f>IF(L43="","",IF(L43&gt;=1,"Hit","Missed"))</f>
        <v/>
      </c>
      <c r="N43" s="12" t="n"/>
      <c r="O43" s="12" t="n"/>
      <c r="P43" s="12" t="n"/>
    </row>
    <row r="44" ht="30" customHeight="1">
      <c r="A44" s="8" t="n"/>
      <c r="B44" s="9" t="n"/>
      <c r="C44" s="5" t="n"/>
      <c r="D44" s="5" t="n"/>
      <c r="E44" s="5" t="n"/>
      <c r="F44" s="8" t="n"/>
      <c r="G44" s="8" t="n"/>
      <c r="H44" s="8" t="n"/>
      <c r="I44" s="8" t="n"/>
      <c r="J44" s="8" t="n"/>
      <c r="K44" s="10" t="n"/>
      <c r="L44" s="11">
        <f>IF(OR(F44="",K44=""),"",K44/F44)</f>
        <v/>
      </c>
      <c r="M44" s="10">
        <f>IF(L44="","",IF(L44&gt;=1,"Hit","Missed"))</f>
        <v/>
      </c>
      <c r="N44" s="12" t="n"/>
      <c r="O44" s="12" t="n"/>
      <c r="P44" s="12" t="n"/>
    </row>
    <row r="45" ht="30" customHeight="1">
      <c r="A45" s="8" t="n"/>
      <c r="B45" s="9" t="n"/>
      <c r="C45" s="5" t="n"/>
      <c r="D45" s="5" t="n"/>
      <c r="E45" s="5" t="n"/>
      <c r="F45" s="8" t="n"/>
      <c r="G45" s="8" t="n"/>
      <c r="H45" s="8" t="n"/>
      <c r="I45" s="8" t="n"/>
      <c r="J45" s="8" t="n"/>
      <c r="K45" s="10" t="n"/>
      <c r="L45" s="11">
        <f>IF(OR(F45="",K45=""),"",K45/F45)</f>
        <v/>
      </c>
      <c r="M45" s="10">
        <f>IF(L45="","",IF(L45&gt;=1,"Hit","Missed"))</f>
        <v/>
      </c>
      <c r="N45" s="12" t="n"/>
      <c r="O45" s="12" t="n"/>
      <c r="P45" s="12" t="n"/>
    </row>
    <row r="46" ht="30" customHeight="1">
      <c r="A46" s="8" t="n"/>
      <c r="B46" s="9" t="n"/>
      <c r="C46" s="5" t="n"/>
      <c r="D46" s="5" t="n"/>
      <c r="E46" s="5" t="n"/>
      <c r="F46" s="8" t="n"/>
      <c r="G46" s="8" t="n"/>
      <c r="H46" s="8" t="n"/>
      <c r="I46" s="8" t="n"/>
      <c r="J46" s="8" t="n"/>
      <c r="K46" s="10" t="n"/>
      <c r="L46" s="11">
        <f>IF(OR(F46="",K46=""),"",K46/F46)</f>
        <v/>
      </c>
      <c r="M46" s="10">
        <f>IF(L46="","",IF(L46&gt;=1,"Hit","Missed"))</f>
        <v/>
      </c>
      <c r="N46" s="12" t="n"/>
      <c r="O46" s="12" t="n"/>
      <c r="P46" s="12" t="n"/>
    </row>
    <row r="47" ht="30" customHeight="1">
      <c r="A47" s="8" t="n"/>
      <c r="B47" s="9" t="n"/>
      <c r="C47" s="5" t="n"/>
      <c r="D47" s="5" t="n"/>
      <c r="E47" s="5" t="n"/>
      <c r="F47" s="8" t="n"/>
      <c r="G47" s="8" t="n"/>
      <c r="H47" s="8" t="n"/>
      <c r="I47" s="8" t="n"/>
      <c r="J47" s="8" t="n"/>
      <c r="K47" s="10" t="n"/>
      <c r="L47" s="11">
        <f>IF(OR(F47="",K47=""),"",K47/F47)</f>
        <v/>
      </c>
      <c r="M47" s="10">
        <f>IF(L47="","",IF(L47&gt;=1,"Hit","Missed"))</f>
        <v/>
      </c>
      <c r="N47" s="12" t="n"/>
      <c r="O47" s="12" t="n"/>
      <c r="P47" s="12" t="n"/>
    </row>
    <row r="48" ht="30" customHeight="1">
      <c r="A48" s="8" t="n"/>
      <c r="B48" s="9" t="n"/>
      <c r="C48" s="5" t="n"/>
      <c r="D48" s="5" t="n"/>
      <c r="E48" s="5" t="n"/>
      <c r="F48" s="8" t="n"/>
      <c r="G48" s="8" t="n"/>
      <c r="H48" s="8" t="n"/>
      <c r="I48" s="8" t="n"/>
      <c r="J48" s="8" t="n"/>
      <c r="K48" s="10" t="n"/>
      <c r="L48" s="11">
        <f>IF(OR(F48="",K48=""),"",K48/F48)</f>
        <v/>
      </c>
      <c r="M48" s="10">
        <f>IF(L48="","",IF(L48&gt;=1,"Hit","Missed"))</f>
        <v/>
      </c>
      <c r="N48" s="12" t="n"/>
      <c r="O48" s="12" t="n"/>
      <c r="P48" s="12" t="n"/>
    </row>
    <row r="49" ht="30" customHeight="1">
      <c r="A49" s="8" t="n"/>
      <c r="B49" s="9" t="n"/>
      <c r="C49" s="5" t="n"/>
      <c r="D49" s="5" t="n"/>
      <c r="E49" s="5" t="n"/>
      <c r="F49" s="8" t="n"/>
      <c r="G49" s="8" t="n"/>
      <c r="H49" s="8" t="n"/>
      <c r="I49" s="8" t="n"/>
      <c r="J49" s="8" t="n"/>
      <c r="K49" s="10" t="n"/>
      <c r="L49" s="11">
        <f>IF(OR(F49="",K49=""),"",K49/F49)</f>
        <v/>
      </c>
      <c r="M49" s="10">
        <f>IF(L49="","",IF(L49&gt;=1,"Hit","Missed"))</f>
        <v/>
      </c>
      <c r="N49" s="12" t="n"/>
      <c r="O49" s="12" t="n"/>
      <c r="P49" s="12" t="n"/>
    </row>
    <row r="50" ht="30" customHeight="1">
      <c r="A50" s="8" t="n"/>
      <c r="B50" s="9" t="n"/>
      <c r="C50" s="5" t="n"/>
      <c r="D50" s="5" t="n"/>
      <c r="E50" s="5" t="n"/>
      <c r="F50" s="8" t="n"/>
      <c r="G50" s="8" t="n"/>
      <c r="H50" s="8" t="n"/>
      <c r="I50" s="8" t="n"/>
      <c r="J50" s="8" t="n"/>
      <c r="K50" s="10" t="n"/>
      <c r="L50" s="11">
        <f>IF(OR(F50="",K50=""),"",K50/F50)</f>
        <v/>
      </c>
      <c r="M50" s="10">
        <f>IF(L50="","",IF(L50&gt;=1,"Hit","Missed"))</f>
        <v/>
      </c>
      <c r="N50" s="12" t="n"/>
      <c r="O50" s="12" t="n"/>
      <c r="P50" s="12" t="n"/>
    </row>
    <row r="51" ht="30" customHeight="1">
      <c r="A51" s="8" t="n"/>
      <c r="B51" s="9" t="n"/>
      <c r="C51" s="5" t="n"/>
      <c r="D51" s="5" t="n"/>
      <c r="E51" s="5" t="n"/>
      <c r="F51" s="8" t="n"/>
      <c r="G51" s="8" t="n"/>
      <c r="H51" s="8" t="n"/>
      <c r="I51" s="8" t="n"/>
      <c r="J51" s="8" t="n"/>
      <c r="K51" s="10" t="n"/>
      <c r="L51" s="11">
        <f>IF(OR(F51="",K51=""),"",K51/F51)</f>
        <v/>
      </c>
      <c r="M51" s="10">
        <f>IF(L51="","",IF(L51&gt;=1,"Hit","Missed"))</f>
        <v/>
      </c>
      <c r="N51" s="12" t="n"/>
      <c r="O51" s="12" t="n"/>
      <c r="P51" s="12" t="n"/>
    </row>
    <row r="52" ht="30" customHeight="1">
      <c r="A52" s="8" t="n"/>
      <c r="B52" s="9" t="n"/>
      <c r="C52" s="5" t="n"/>
      <c r="D52" s="5" t="n"/>
      <c r="E52" s="5" t="n"/>
      <c r="F52" s="8" t="n"/>
      <c r="G52" s="8" t="n"/>
      <c r="H52" s="8" t="n"/>
      <c r="I52" s="8" t="n"/>
      <c r="J52" s="8" t="n"/>
      <c r="K52" s="10" t="n"/>
      <c r="L52" s="11">
        <f>IF(OR(F52="",K52=""),"",K52/F52)</f>
        <v/>
      </c>
      <c r="M52" s="10">
        <f>IF(L52="","",IF(L52&gt;=1,"Hit","Missed"))</f>
        <v/>
      </c>
      <c r="N52" s="12" t="n"/>
      <c r="O52" s="12" t="n"/>
      <c r="P52" s="12" t="n"/>
    </row>
    <row r="53" ht="30" customHeight="1">
      <c r="A53" s="8" t="n"/>
      <c r="B53" s="9" t="n"/>
      <c r="C53" s="5" t="n"/>
      <c r="D53" s="5" t="n"/>
      <c r="E53" s="5" t="n"/>
      <c r="F53" s="8" t="n"/>
      <c r="G53" s="8" t="n"/>
      <c r="H53" s="8" t="n"/>
      <c r="I53" s="8" t="n"/>
      <c r="J53" s="8" t="n"/>
      <c r="K53" s="10" t="n"/>
      <c r="L53" s="11">
        <f>IF(OR(F53="",K53=""),"",K53/F53)</f>
        <v/>
      </c>
      <c r="M53" s="10">
        <f>IF(L53="","",IF(L53&gt;=1,"Hit","Missed"))</f>
        <v/>
      </c>
      <c r="N53" s="12" t="n"/>
      <c r="O53" s="12" t="n"/>
      <c r="P53" s="12" t="n"/>
    </row>
    <row r="54" ht="30" customHeight="1">
      <c r="A54" s="8" t="n"/>
      <c r="B54" s="9" t="n"/>
      <c r="C54" s="5" t="n"/>
      <c r="D54" s="5" t="n"/>
      <c r="E54" s="5" t="n"/>
      <c r="F54" s="8" t="n"/>
      <c r="G54" s="8" t="n"/>
      <c r="H54" s="8" t="n"/>
      <c r="I54" s="8" t="n"/>
      <c r="J54" s="8" t="n"/>
      <c r="K54" s="10" t="n"/>
      <c r="L54" s="11">
        <f>IF(OR(F54="",K54=""),"",K54/F54)</f>
        <v/>
      </c>
      <c r="M54" s="10">
        <f>IF(L54="","",IF(L54&gt;=1,"Hit","Missed"))</f>
        <v/>
      </c>
      <c r="N54" s="12" t="n"/>
      <c r="O54" s="12" t="n"/>
      <c r="P54" s="12" t="n"/>
    </row>
    <row r="55" ht="30" customHeight="1">
      <c r="A55" s="8" t="n"/>
      <c r="B55" s="9" t="n"/>
      <c r="C55" s="5" t="n"/>
      <c r="D55" s="5" t="n"/>
      <c r="E55" s="5" t="n"/>
      <c r="F55" s="8" t="n"/>
      <c r="G55" s="8" t="n"/>
      <c r="H55" s="8" t="n"/>
      <c r="I55" s="8" t="n"/>
      <c r="J55" s="8" t="n"/>
      <c r="K55" s="10" t="n"/>
      <c r="L55" s="11">
        <f>IF(OR(F55="",K55=""),"",K55/F55)</f>
        <v/>
      </c>
      <c r="M55" s="10">
        <f>IF(L55="","",IF(L55&gt;=1,"Hit","Missed"))</f>
        <v/>
      </c>
      <c r="N55" s="12" t="n"/>
      <c r="O55" s="12" t="n"/>
      <c r="P55" s="12" t="n"/>
    </row>
    <row r="56" ht="30" customHeight="1">
      <c r="A56" s="8" t="n"/>
      <c r="B56" s="9" t="n"/>
      <c r="C56" s="5" t="n"/>
      <c r="D56" s="5" t="n"/>
      <c r="E56" s="5" t="n"/>
      <c r="F56" s="8" t="n"/>
      <c r="G56" s="8" t="n"/>
      <c r="H56" s="8" t="n"/>
      <c r="I56" s="8" t="n"/>
      <c r="J56" s="8" t="n"/>
      <c r="K56" s="10" t="n"/>
      <c r="L56" s="11">
        <f>IF(OR(F56="",K56=""),"",K56/F56)</f>
        <v/>
      </c>
      <c r="M56" s="10">
        <f>IF(L56="","",IF(L56&gt;=1,"Hit","Missed"))</f>
        <v/>
      </c>
      <c r="N56" s="12" t="n"/>
      <c r="O56" s="12" t="n"/>
      <c r="P56" s="12" t="n"/>
    </row>
    <row r="57" ht="30" customHeight="1">
      <c r="A57" s="8" t="n"/>
      <c r="B57" s="9" t="n"/>
      <c r="C57" s="5" t="n"/>
      <c r="D57" s="5" t="n"/>
      <c r="E57" s="5" t="n"/>
      <c r="F57" s="8" t="n"/>
      <c r="G57" s="8" t="n"/>
      <c r="H57" s="8" t="n"/>
      <c r="I57" s="8" t="n"/>
      <c r="J57" s="8" t="n"/>
      <c r="K57" s="10" t="n"/>
      <c r="L57" s="11">
        <f>IF(OR(F57="",K57=""),"",K57/F57)</f>
        <v/>
      </c>
      <c r="M57" s="10">
        <f>IF(L57="","",IF(L57&gt;=1,"Hit","Missed"))</f>
        <v/>
      </c>
      <c r="N57" s="12" t="n"/>
      <c r="O57" s="12" t="n"/>
      <c r="P57" s="12" t="n"/>
    </row>
    <row r="58" ht="30" customHeight="1">
      <c r="A58" s="8" t="n"/>
      <c r="B58" s="9" t="n"/>
      <c r="C58" s="5" t="n"/>
      <c r="D58" s="5" t="n"/>
      <c r="E58" s="5" t="n"/>
      <c r="F58" s="8" t="n"/>
      <c r="G58" s="8" t="n"/>
      <c r="H58" s="8" t="n"/>
      <c r="I58" s="8" t="n"/>
      <c r="J58" s="8" t="n"/>
      <c r="K58" s="10" t="n"/>
      <c r="L58" s="11">
        <f>IF(OR(F58="",K58=""),"",K58/F58)</f>
        <v/>
      </c>
      <c r="M58" s="10">
        <f>IF(L58="","",IF(L58&gt;=1,"Hit","Missed"))</f>
        <v/>
      </c>
      <c r="N58" s="12" t="n"/>
      <c r="O58" s="12" t="n"/>
      <c r="P58" s="12" t="n"/>
    </row>
    <row r="59" ht="30" customHeight="1">
      <c r="A59" s="8" t="n"/>
      <c r="B59" s="9" t="n"/>
      <c r="C59" s="5" t="n"/>
      <c r="D59" s="5" t="n"/>
      <c r="E59" s="5" t="n"/>
      <c r="F59" s="8" t="n"/>
      <c r="G59" s="8" t="n"/>
      <c r="H59" s="8" t="n"/>
      <c r="I59" s="8" t="n"/>
      <c r="J59" s="8" t="n"/>
      <c r="K59" s="10" t="n"/>
      <c r="L59" s="11">
        <f>IF(OR(F59="",K59=""),"",K59/F59)</f>
        <v/>
      </c>
      <c r="M59" s="10">
        <f>IF(L59="","",IF(L59&gt;=1,"Hit","Missed"))</f>
        <v/>
      </c>
      <c r="N59" s="12" t="n"/>
      <c r="O59" s="12" t="n"/>
      <c r="P59" s="12" t="n"/>
    </row>
    <row r="60" ht="30" customHeight="1">
      <c r="A60" s="8" t="n"/>
      <c r="B60" s="9" t="n"/>
      <c r="C60" s="5" t="n"/>
      <c r="D60" s="5" t="n"/>
      <c r="E60" s="5" t="n"/>
      <c r="F60" s="8" t="n"/>
      <c r="G60" s="8" t="n"/>
      <c r="H60" s="8" t="n"/>
      <c r="I60" s="8" t="n"/>
      <c r="J60" s="8" t="n"/>
      <c r="K60" s="10" t="n"/>
      <c r="L60" s="11">
        <f>IF(OR(F60="",K60=""),"",K60/F60)</f>
        <v/>
      </c>
      <c r="M60" s="10">
        <f>IF(L60="","",IF(L60&gt;=1,"Hit","Missed"))</f>
        <v/>
      </c>
      <c r="N60" s="12" t="n"/>
      <c r="O60" s="12" t="n"/>
      <c r="P60" s="12" t="n"/>
    </row>
    <row r="61" ht="30" customHeight="1">
      <c r="A61" s="8" t="n"/>
      <c r="B61" s="9" t="n"/>
      <c r="C61" s="5" t="n"/>
      <c r="D61" s="5" t="n"/>
      <c r="E61" s="5" t="n"/>
      <c r="F61" s="8" t="n"/>
      <c r="G61" s="8" t="n"/>
      <c r="H61" s="8" t="n"/>
      <c r="I61" s="8" t="n"/>
      <c r="J61" s="8" t="n"/>
      <c r="K61" s="10" t="n"/>
      <c r="L61" s="11">
        <f>IF(OR(F61="",K61=""),"",K61/F61)</f>
        <v/>
      </c>
      <c r="M61" s="10">
        <f>IF(L61="","",IF(L61&gt;=1,"Hit","Missed"))</f>
        <v/>
      </c>
      <c r="N61" s="12" t="n"/>
      <c r="O61" s="12" t="n"/>
      <c r="P61" s="12" t="n"/>
    </row>
    <row r="62" ht="30" customHeight="1">
      <c r="A62" s="8" t="n"/>
      <c r="B62" s="9" t="n"/>
      <c r="C62" s="5" t="n"/>
      <c r="D62" s="5" t="n"/>
      <c r="E62" s="5" t="n"/>
      <c r="F62" s="8" t="n"/>
      <c r="G62" s="8" t="n"/>
      <c r="H62" s="8" t="n"/>
      <c r="I62" s="8" t="n"/>
      <c r="J62" s="8" t="n"/>
      <c r="K62" s="10" t="n"/>
      <c r="L62" s="11">
        <f>IF(OR(F62="",K62=""),"",K62/F62)</f>
        <v/>
      </c>
      <c r="M62" s="10">
        <f>IF(L62="","",IF(L62&gt;=1,"Hit","Missed"))</f>
        <v/>
      </c>
      <c r="N62" s="12" t="n"/>
      <c r="O62" s="12" t="n"/>
      <c r="P62" s="12" t="n"/>
    </row>
    <row r="63" ht="30" customHeight="1">
      <c r="A63" s="8" t="n"/>
      <c r="B63" s="9" t="n"/>
      <c r="C63" s="5" t="n"/>
      <c r="D63" s="5" t="n"/>
      <c r="E63" s="5" t="n"/>
      <c r="F63" s="8" t="n"/>
      <c r="G63" s="8" t="n"/>
      <c r="H63" s="8" t="n"/>
      <c r="I63" s="8" t="n"/>
      <c r="J63" s="8" t="n"/>
      <c r="K63" s="10" t="n"/>
      <c r="L63" s="11">
        <f>IF(OR(F63="",K63=""),"",K63/F63)</f>
        <v/>
      </c>
      <c r="M63" s="10">
        <f>IF(L63="","",IF(L63&gt;=1,"Hit","Missed"))</f>
        <v/>
      </c>
      <c r="N63" s="12" t="n"/>
      <c r="O63" s="12" t="n"/>
      <c r="P63" s="12" t="n"/>
    </row>
    <row r="64" ht="30" customHeight="1">
      <c r="A64" s="8" t="n"/>
      <c r="B64" s="9" t="n"/>
      <c r="C64" s="5" t="n"/>
      <c r="D64" s="5" t="n"/>
      <c r="E64" s="5" t="n"/>
      <c r="F64" s="8" t="n"/>
      <c r="G64" s="8" t="n"/>
      <c r="H64" s="8" t="n"/>
      <c r="I64" s="8" t="n"/>
      <c r="J64" s="8" t="n"/>
      <c r="K64" s="10" t="n"/>
      <c r="L64" s="11">
        <f>IF(OR(F64="",K64=""),"",K64/F64)</f>
        <v/>
      </c>
      <c r="M64" s="10">
        <f>IF(L64="","",IF(L64&gt;=1,"Hit","Missed"))</f>
        <v/>
      </c>
      <c r="N64" s="12" t="n"/>
      <c r="O64" s="12" t="n"/>
      <c r="P64" s="12" t="n"/>
    </row>
    <row r="65" ht="30" customHeight="1">
      <c r="A65" s="8" t="n"/>
      <c r="B65" s="9" t="n"/>
      <c r="C65" s="5" t="n"/>
      <c r="D65" s="5" t="n"/>
      <c r="E65" s="5" t="n"/>
      <c r="F65" s="8" t="n"/>
      <c r="G65" s="8" t="n"/>
      <c r="H65" s="8" t="n"/>
      <c r="I65" s="8" t="n"/>
      <c r="J65" s="8" t="n"/>
      <c r="K65" s="10" t="n"/>
      <c r="L65" s="11">
        <f>IF(OR(F65="",K65=""),"",K65/F65)</f>
        <v/>
      </c>
      <c r="M65" s="10">
        <f>IF(L65="","",IF(L65&gt;=1,"Hit","Missed"))</f>
        <v/>
      </c>
      <c r="N65" s="12" t="n"/>
      <c r="O65" s="12" t="n"/>
      <c r="P65" s="12" t="n"/>
    </row>
    <row r="66" ht="30" customHeight="1">
      <c r="A66" s="8" t="n"/>
      <c r="B66" s="9" t="n"/>
      <c r="C66" s="5" t="n"/>
      <c r="D66" s="5" t="n"/>
      <c r="E66" s="5" t="n"/>
      <c r="F66" s="8" t="n"/>
      <c r="G66" s="8" t="n"/>
      <c r="H66" s="8" t="n"/>
      <c r="I66" s="8" t="n"/>
      <c r="J66" s="8" t="n"/>
      <c r="K66" s="10" t="n"/>
      <c r="L66" s="11">
        <f>IF(OR(F66="",K66=""),"",K66/F66)</f>
        <v/>
      </c>
      <c r="M66" s="10">
        <f>IF(L66="","",IF(L66&gt;=1,"Hit","Missed"))</f>
        <v/>
      </c>
      <c r="N66" s="12" t="n"/>
      <c r="O66" s="12" t="n"/>
      <c r="P66" s="12" t="n"/>
    </row>
    <row r="67" ht="30" customHeight="1">
      <c r="A67" s="8" t="n"/>
      <c r="B67" s="9" t="n"/>
      <c r="C67" s="5" t="n"/>
      <c r="D67" s="5" t="n"/>
      <c r="E67" s="5" t="n"/>
      <c r="F67" s="8" t="n"/>
      <c r="G67" s="8" t="n"/>
      <c r="H67" s="8" t="n"/>
      <c r="I67" s="8" t="n"/>
      <c r="J67" s="8" t="n"/>
      <c r="K67" s="10" t="n"/>
      <c r="L67" s="11">
        <f>IF(OR(F67="",K67=""),"",K67/F67)</f>
        <v/>
      </c>
      <c r="M67" s="10">
        <f>IF(L67="","",IF(L67&gt;=1,"Hit","Missed"))</f>
        <v/>
      </c>
      <c r="N67" s="12" t="n"/>
      <c r="O67" s="12" t="n"/>
      <c r="P67" s="12" t="n"/>
    </row>
    <row r="68" ht="30" customHeight="1">
      <c r="A68" s="8" t="n"/>
      <c r="B68" s="9" t="n"/>
      <c r="C68" s="5" t="n"/>
      <c r="D68" s="5" t="n"/>
      <c r="E68" s="5" t="n"/>
      <c r="F68" s="8" t="n"/>
      <c r="G68" s="8" t="n"/>
      <c r="H68" s="8" t="n"/>
      <c r="I68" s="8" t="n"/>
      <c r="J68" s="8" t="n"/>
      <c r="K68" s="10" t="n"/>
      <c r="L68" s="11">
        <f>IF(OR(F68="",K68=""),"",K68/F68)</f>
        <v/>
      </c>
      <c r="M68" s="10">
        <f>IF(L68="","",IF(L68&gt;=1,"Hit","Missed"))</f>
        <v/>
      </c>
      <c r="N68" s="12" t="n"/>
      <c r="O68" s="12" t="n"/>
      <c r="P68" s="12" t="n"/>
    </row>
    <row r="69" ht="30" customHeight="1">
      <c r="A69" s="8" t="n"/>
      <c r="B69" s="9" t="n"/>
      <c r="C69" s="5" t="n"/>
      <c r="D69" s="5" t="n"/>
      <c r="E69" s="5" t="n"/>
      <c r="F69" s="8" t="n"/>
      <c r="G69" s="8" t="n"/>
      <c r="H69" s="8" t="n"/>
      <c r="I69" s="8" t="n"/>
      <c r="J69" s="8" t="n"/>
      <c r="K69" s="10" t="n"/>
      <c r="L69" s="11">
        <f>IF(OR(F69="",K69=""),"",K69/F69)</f>
        <v/>
      </c>
      <c r="M69" s="10">
        <f>IF(L69="","",IF(L69&gt;=1,"Hit","Missed"))</f>
        <v/>
      </c>
      <c r="N69" s="12" t="n"/>
      <c r="O69" s="12" t="n"/>
      <c r="P69" s="12" t="n"/>
    </row>
    <row r="70" ht="30" customHeight="1">
      <c r="A70" s="8" t="n"/>
      <c r="B70" s="9" t="n"/>
      <c r="C70" s="5" t="n"/>
      <c r="D70" s="5" t="n"/>
      <c r="E70" s="5" t="n"/>
      <c r="F70" s="8" t="n"/>
      <c r="G70" s="8" t="n"/>
      <c r="H70" s="8" t="n"/>
      <c r="I70" s="8" t="n"/>
      <c r="J70" s="8" t="n"/>
      <c r="K70" s="10" t="n"/>
      <c r="L70" s="11">
        <f>IF(OR(F70="",K70=""),"",K70/F70)</f>
        <v/>
      </c>
      <c r="M70" s="10">
        <f>IF(L70="","",IF(L70&gt;=1,"Hit","Missed"))</f>
        <v/>
      </c>
      <c r="N70" s="12" t="n"/>
      <c r="O70" s="12" t="n"/>
      <c r="P70" s="12" t="n"/>
    </row>
    <row r="71" ht="30" customHeight="1">
      <c r="A71" s="8" t="n"/>
      <c r="B71" s="9" t="n"/>
      <c r="C71" s="5" t="n"/>
      <c r="D71" s="5" t="n"/>
      <c r="E71" s="5" t="n"/>
      <c r="F71" s="8" t="n"/>
      <c r="G71" s="8" t="n"/>
      <c r="H71" s="8" t="n"/>
      <c r="I71" s="8" t="n"/>
      <c r="J71" s="8" t="n"/>
      <c r="K71" s="10" t="n"/>
      <c r="L71" s="11">
        <f>IF(OR(F71="",K71=""),"",K71/F71)</f>
        <v/>
      </c>
      <c r="M71" s="10">
        <f>IF(L71="","",IF(L71&gt;=1,"Hit","Missed"))</f>
        <v/>
      </c>
      <c r="N71" s="12" t="n"/>
      <c r="O71" s="12" t="n"/>
      <c r="P71" s="12" t="n"/>
    </row>
    <row r="72" ht="30" customHeight="1">
      <c r="A72" s="8" t="n"/>
      <c r="B72" s="9" t="n"/>
      <c r="C72" s="5" t="n"/>
      <c r="D72" s="5" t="n"/>
      <c r="E72" s="5" t="n"/>
      <c r="F72" s="8" t="n"/>
      <c r="G72" s="8" t="n"/>
      <c r="H72" s="8" t="n"/>
      <c r="I72" s="8" t="n"/>
      <c r="J72" s="8" t="n"/>
      <c r="K72" s="10" t="n"/>
      <c r="L72" s="11">
        <f>IF(OR(F72="",K72=""),"",K72/F72)</f>
        <v/>
      </c>
      <c r="M72" s="10">
        <f>IF(L72="","",IF(L72&gt;=1,"Hit","Missed"))</f>
        <v/>
      </c>
      <c r="N72" s="12" t="n"/>
      <c r="O72" s="12" t="n"/>
      <c r="P72" s="12" t="n"/>
    </row>
    <row r="73" ht="30" customHeight="1">
      <c r="A73" s="8" t="n"/>
      <c r="B73" s="9" t="n"/>
      <c r="C73" s="5" t="n"/>
      <c r="D73" s="5" t="n"/>
      <c r="E73" s="5" t="n"/>
      <c r="F73" s="8" t="n"/>
      <c r="G73" s="8" t="n"/>
      <c r="H73" s="8" t="n"/>
      <c r="I73" s="8" t="n"/>
      <c r="J73" s="8" t="n"/>
      <c r="K73" s="10" t="n"/>
      <c r="L73" s="11">
        <f>IF(OR(F73="",K73=""),"",K73/F73)</f>
        <v/>
      </c>
      <c r="M73" s="10">
        <f>IF(L73="","",IF(L73&gt;=1,"Hit","Missed"))</f>
        <v/>
      </c>
      <c r="N73" s="12" t="n"/>
      <c r="O73" s="12" t="n"/>
      <c r="P73" s="12" t="n"/>
    </row>
    <row r="74" ht="30" customHeight="1">
      <c r="A74" s="8" t="n"/>
      <c r="B74" s="9" t="n"/>
      <c r="C74" s="5" t="n"/>
      <c r="D74" s="5" t="n"/>
      <c r="E74" s="5" t="n"/>
      <c r="F74" s="8" t="n"/>
      <c r="G74" s="8" t="n"/>
      <c r="H74" s="8" t="n"/>
      <c r="I74" s="8" t="n"/>
      <c r="J74" s="8" t="n"/>
      <c r="K74" s="10" t="n"/>
      <c r="L74" s="11">
        <f>IF(OR(F74="",K74=""),"",K74/F74)</f>
        <v/>
      </c>
      <c r="M74" s="10">
        <f>IF(L74="","",IF(L74&gt;=1,"Hit","Missed"))</f>
        <v/>
      </c>
      <c r="N74" s="12" t="n"/>
      <c r="O74" s="12" t="n"/>
      <c r="P74" s="12" t="n"/>
    </row>
    <row r="75" ht="30" customHeight="1">
      <c r="A75" s="8" t="n"/>
      <c r="B75" s="9" t="n"/>
      <c r="C75" s="5" t="n"/>
      <c r="D75" s="5" t="n"/>
      <c r="E75" s="5" t="n"/>
      <c r="F75" s="8" t="n"/>
      <c r="G75" s="8" t="n"/>
      <c r="H75" s="8" t="n"/>
      <c r="I75" s="8" t="n"/>
      <c r="J75" s="8" t="n"/>
      <c r="K75" s="10" t="n"/>
      <c r="L75" s="11">
        <f>IF(OR(F75="",K75=""),"",K75/F75)</f>
        <v/>
      </c>
      <c r="M75" s="10">
        <f>IF(L75="","",IF(L75&gt;=1,"Hit","Missed"))</f>
        <v/>
      </c>
      <c r="N75" s="12" t="n"/>
      <c r="O75" s="12" t="n"/>
      <c r="P75" s="12" t="n"/>
    </row>
    <row r="76" ht="30" customHeight="1">
      <c r="A76" s="8" t="n"/>
      <c r="B76" s="9" t="n"/>
      <c r="C76" s="5" t="n"/>
      <c r="D76" s="5" t="n"/>
      <c r="E76" s="5" t="n"/>
      <c r="F76" s="8" t="n"/>
      <c r="G76" s="8" t="n"/>
      <c r="H76" s="8" t="n"/>
      <c r="I76" s="8" t="n"/>
      <c r="J76" s="8" t="n"/>
      <c r="K76" s="10" t="n"/>
      <c r="L76" s="11">
        <f>IF(OR(F76="",K76=""),"",K76/F76)</f>
        <v/>
      </c>
      <c r="M76" s="10">
        <f>IF(L76="","",IF(L76&gt;=1,"Hit","Missed"))</f>
        <v/>
      </c>
      <c r="N76" s="12" t="n"/>
      <c r="O76" s="12" t="n"/>
      <c r="P76" s="12" t="n"/>
    </row>
    <row r="77" ht="30" customHeight="1">
      <c r="A77" s="8" t="n"/>
      <c r="B77" s="9" t="n"/>
      <c r="C77" s="5" t="n"/>
      <c r="D77" s="5" t="n"/>
      <c r="E77" s="5" t="n"/>
      <c r="F77" s="8" t="n"/>
      <c r="G77" s="8" t="n"/>
      <c r="H77" s="8" t="n"/>
      <c r="I77" s="8" t="n"/>
      <c r="J77" s="8" t="n"/>
      <c r="K77" s="10" t="n"/>
      <c r="L77" s="11">
        <f>IF(OR(F77="",K77=""),"",K77/F77)</f>
        <v/>
      </c>
      <c r="M77" s="10">
        <f>IF(L77="","",IF(L77&gt;=1,"Hit","Missed"))</f>
        <v/>
      </c>
      <c r="N77" s="12" t="n"/>
      <c r="O77" s="12" t="n"/>
      <c r="P77" s="12" t="n"/>
    </row>
    <row r="78" ht="30" customHeight="1">
      <c r="A78" s="8" t="n"/>
      <c r="B78" s="9" t="n"/>
      <c r="C78" s="5" t="n"/>
      <c r="D78" s="5" t="n"/>
      <c r="E78" s="5" t="n"/>
      <c r="F78" s="8" t="n"/>
      <c r="G78" s="8" t="n"/>
      <c r="H78" s="8" t="n"/>
      <c r="I78" s="8" t="n"/>
      <c r="J78" s="8" t="n"/>
      <c r="K78" s="10" t="n"/>
      <c r="L78" s="11">
        <f>IF(OR(F78="",K78=""),"",K78/F78)</f>
        <v/>
      </c>
      <c r="M78" s="10">
        <f>IF(L78="","",IF(L78&gt;=1,"Hit","Missed"))</f>
        <v/>
      </c>
      <c r="N78" s="12" t="n"/>
      <c r="O78" s="12" t="n"/>
      <c r="P78" s="12" t="n"/>
    </row>
    <row r="79" ht="30" customHeight="1">
      <c r="A79" s="8" t="n"/>
      <c r="B79" s="9" t="n"/>
      <c r="C79" s="5" t="n"/>
      <c r="D79" s="5" t="n"/>
      <c r="E79" s="5" t="n"/>
      <c r="F79" s="8" t="n"/>
      <c r="G79" s="8" t="n"/>
      <c r="H79" s="8" t="n"/>
      <c r="I79" s="8" t="n"/>
      <c r="J79" s="8" t="n"/>
      <c r="K79" s="10" t="n"/>
      <c r="L79" s="11">
        <f>IF(OR(F79="",K79=""),"",K79/F79)</f>
        <v/>
      </c>
      <c r="M79" s="10">
        <f>IF(L79="","",IF(L79&gt;=1,"Hit","Missed"))</f>
        <v/>
      </c>
      <c r="N79" s="12" t="n"/>
      <c r="O79" s="12" t="n"/>
      <c r="P79" s="12" t="n"/>
    </row>
    <row r="80" ht="30" customHeight="1">
      <c r="A80" s="8" t="n"/>
      <c r="B80" s="9" t="n"/>
      <c r="C80" s="5" t="n"/>
      <c r="D80" s="5" t="n"/>
      <c r="E80" s="5" t="n"/>
      <c r="F80" s="8" t="n"/>
      <c r="G80" s="8" t="n"/>
      <c r="H80" s="8" t="n"/>
      <c r="I80" s="8" t="n"/>
      <c r="J80" s="8" t="n"/>
      <c r="K80" s="10" t="n"/>
      <c r="L80" s="11">
        <f>IF(OR(F80="",K80=""),"",K80/F80)</f>
        <v/>
      </c>
      <c r="M80" s="10">
        <f>IF(L80="","",IF(L80&gt;=1,"Hit","Missed"))</f>
        <v/>
      </c>
      <c r="N80" s="12" t="n"/>
      <c r="O80" s="12" t="n"/>
      <c r="P80" s="12" t="n"/>
    </row>
    <row r="81" ht="30" customHeight="1">
      <c r="A81" s="8" t="n"/>
      <c r="B81" s="9" t="n"/>
      <c r="C81" s="5" t="n"/>
      <c r="D81" s="5" t="n"/>
      <c r="E81" s="5" t="n"/>
      <c r="F81" s="8" t="n"/>
      <c r="G81" s="8" t="n"/>
      <c r="H81" s="8" t="n"/>
      <c r="I81" s="8" t="n"/>
      <c r="J81" s="8" t="n"/>
      <c r="K81" s="10" t="n"/>
      <c r="L81" s="11">
        <f>IF(OR(F81="",K81=""),"",K81/F81)</f>
        <v/>
      </c>
      <c r="M81" s="10">
        <f>IF(L81="","",IF(L81&gt;=1,"Hit","Missed"))</f>
        <v/>
      </c>
      <c r="N81" s="12" t="n"/>
      <c r="O81" s="12" t="n"/>
      <c r="P81" s="12" t="n"/>
    </row>
    <row r="82" ht="30" customHeight="1">
      <c r="A82" s="8" t="n"/>
      <c r="B82" s="9" t="n"/>
      <c r="C82" s="5" t="n"/>
      <c r="D82" s="5" t="n"/>
      <c r="E82" s="5" t="n"/>
      <c r="F82" s="8" t="n"/>
      <c r="G82" s="8" t="n"/>
      <c r="H82" s="8" t="n"/>
      <c r="I82" s="8" t="n"/>
      <c r="J82" s="8" t="n"/>
      <c r="K82" s="10" t="n"/>
      <c r="L82" s="11">
        <f>IF(OR(F82="",K82=""),"",K82/F82)</f>
        <v/>
      </c>
      <c r="M82" s="10">
        <f>IF(L82="","",IF(L82&gt;=1,"Hit","Missed"))</f>
        <v/>
      </c>
      <c r="N82" s="12" t="n"/>
      <c r="O82" s="12" t="n"/>
      <c r="P82" s="12" t="n"/>
    </row>
    <row r="83" ht="30" customHeight="1">
      <c r="A83" s="8" t="n"/>
      <c r="B83" s="9" t="n"/>
      <c r="C83" s="5" t="n"/>
      <c r="D83" s="5" t="n"/>
      <c r="E83" s="5" t="n"/>
      <c r="F83" s="8" t="n"/>
      <c r="G83" s="8" t="n"/>
      <c r="H83" s="8" t="n"/>
      <c r="I83" s="8" t="n"/>
      <c r="J83" s="8" t="n"/>
      <c r="K83" s="10" t="n"/>
      <c r="L83" s="11">
        <f>IF(OR(F83="",K83=""),"",K83/F83)</f>
        <v/>
      </c>
      <c r="M83" s="10">
        <f>IF(L83="","",IF(L83&gt;=1,"Hit","Missed"))</f>
        <v/>
      </c>
      <c r="N83" s="12" t="n"/>
      <c r="O83" s="12" t="n"/>
      <c r="P83" s="12" t="n"/>
    </row>
    <row r="84" ht="30" customHeight="1">
      <c r="A84" s="8" t="n"/>
      <c r="B84" s="9" t="n"/>
      <c r="C84" s="5" t="n"/>
      <c r="D84" s="5" t="n"/>
      <c r="E84" s="5" t="n"/>
      <c r="F84" s="8" t="n"/>
      <c r="G84" s="8" t="n"/>
      <c r="H84" s="8" t="n"/>
      <c r="I84" s="8" t="n"/>
      <c r="J84" s="8" t="n"/>
      <c r="K84" s="10" t="n"/>
      <c r="L84" s="11">
        <f>IF(OR(F84="",K84=""),"",K84/F84)</f>
        <v/>
      </c>
      <c r="M84" s="10">
        <f>IF(L84="","",IF(L84&gt;=1,"Hit","Missed"))</f>
        <v/>
      </c>
      <c r="N84" s="12" t="n"/>
      <c r="O84" s="12" t="n"/>
      <c r="P84" s="12" t="n"/>
    </row>
    <row r="85" ht="30" customHeight="1">
      <c r="A85" s="8" t="n"/>
      <c r="B85" s="9" t="n"/>
      <c r="C85" s="5" t="n"/>
      <c r="D85" s="5" t="n"/>
      <c r="E85" s="5" t="n"/>
      <c r="F85" s="8" t="n"/>
      <c r="G85" s="8" t="n"/>
      <c r="H85" s="8" t="n"/>
      <c r="I85" s="8" t="n"/>
      <c r="J85" s="8" t="n"/>
      <c r="K85" s="10" t="n"/>
      <c r="L85" s="11">
        <f>IF(OR(F85="",K85=""),"",K85/F85)</f>
        <v/>
      </c>
      <c r="M85" s="10">
        <f>IF(L85="","",IF(L85&gt;=1,"Hit","Missed"))</f>
        <v/>
      </c>
      <c r="N85" s="12" t="n"/>
      <c r="O85" s="12" t="n"/>
      <c r="P85" s="12" t="n"/>
    </row>
    <row r="86" ht="30" customHeight="1">
      <c r="A86" s="8" t="n"/>
      <c r="B86" s="9" t="n"/>
      <c r="C86" s="5" t="n"/>
      <c r="D86" s="5" t="n"/>
      <c r="E86" s="5" t="n"/>
      <c r="F86" s="8" t="n"/>
      <c r="G86" s="8" t="n"/>
      <c r="H86" s="8" t="n"/>
      <c r="I86" s="8" t="n"/>
      <c r="J86" s="8" t="n"/>
      <c r="K86" s="10" t="n"/>
      <c r="L86" s="11">
        <f>IF(OR(F86="",K86=""),"",K86/F86)</f>
        <v/>
      </c>
      <c r="M86" s="10">
        <f>IF(L86="","",IF(L86&gt;=1,"Hit","Missed"))</f>
        <v/>
      </c>
      <c r="N86" s="12" t="n"/>
      <c r="O86" s="12" t="n"/>
      <c r="P86" s="12" t="n"/>
    </row>
    <row r="87" ht="30" customHeight="1">
      <c r="A87" s="8" t="n"/>
      <c r="B87" s="9" t="n"/>
      <c r="C87" s="5" t="n"/>
      <c r="D87" s="5" t="n"/>
      <c r="E87" s="5" t="n"/>
      <c r="F87" s="8" t="n"/>
      <c r="G87" s="8" t="n"/>
      <c r="H87" s="8" t="n"/>
      <c r="I87" s="8" t="n"/>
      <c r="J87" s="8" t="n"/>
      <c r="K87" s="10" t="n"/>
      <c r="L87" s="11">
        <f>IF(OR(F87="",K87=""),"",K87/F87)</f>
        <v/>
      </c>
      <c r="M87" s="10">
        <f>IF(L87="","",IF(L87&gt;=1,"Hit","Missed"))</f>
        <v/>
      </c>
      <c r="N87" s="12" t="n"/>
      <c r="O87" s="12" t="n"/>
      <c r="P87" s="12" t="n"/>
    </row>
    <row r="88" ht="30" customHeight="1">
      <c r="A88" s="8" t="n"/>
      <c r="B88" s="9" t="n"/>
      <c r="C88" s="5" t="n"/>
      <c r="D88" s="5" t="n"/>
      <c r="E88" s="5" t="n"/>
      <c r="F88" s="8" t="n"/>
      <c r="G88" s="8" t="n"/>
      <c r="H88" s="8" t="n"/>
      <c r="I88" s="8" t="n"/>
      <c r="J88" s="8" t="n"/>
      <c r="K88" s="10" t="n"/>
      <c r="L88" s="11">
        <f>IF(OR(F88="",K88=""),"",K88/F88)</f>
        <v/>
      </c>
      <c r="M88" s="10">
        <f>IF(L88="","",IF(L88&gt;=1,"Hit","Missed"))</f>
        <v/>
      </c>
      <c r="N88" s="12" t="n"/>
      <c r="O88" s="12" t="n"/>
      <c r="P88" s="12" t="n"/>
    </row>
    <row r="89" ht="30" customHeight="1">
      <c r="A89" s="8" t="n"/>
      <c r="B89" s="9" t="n"/>
      <c r="C89" s="5" t="n"/>
      <c r="D89" s="5" t="n"/>
      <c r="E89" s="5" t="n"/>
      <c r="F89" s="8" t="n"/>
      <c r="G89" s="8" t="n"/>
      <c r="H89" s="8" t="n"/>
      <c r="I89" s="8" t="n"/>
      <c r="J89" s="8" t="n"/>
      <c r="K89" s="10" t="n"/>
      <c r="L89" s="11">
        <f>IF(OR(F89="",K89=""),"",K89/F89)</f>
        <v/>
      </c>
      <c r="M89" s="10">
        <f>IF(L89="","",IF(L89&gt;=1,"Hit","Missed"))</f>
        <v/>
      </c>
      <c r="N89" s="12" t="n"/>
      <c r="O89" s="12" t="n"/>
      <c r="P89" s="12" t="n"/>
    </row>
    <row r="90" ht="30" customHeight="1">
      <c r="A90" s="8" t="n"/>
      <c r="B90" s="9" t="n"/>
      <c r="C90" s="5" t="n"/>
      <c r="D90" s="5" t="n"/>
      <c r="E90" s="5" t="n"/>
      <c r="F90" s="8" t="n"/>
      <c r="G90" s="8" t="n"/>
      <c r="H90" s="8" t="n"/>
      <c r="I90" s="8" t="n"/>
      <c r="J90" s="8" t="n"/>
      <c r="K90" s="10" t="n"/>
      <c r="L90" s="11">
        <f>IF(OR(F90="",K90=""),"",K90/F90)</f>
        <v/>
      </c>
      <c r="M90" s="10">
        <f>IF(L90="","",IF(L90&gt;=1,"Hit","Missed"))</f>
        <v/>
      </c>
      <c r="N90" s="12" t="n"/>
      <c r="O90" s="12" t="n"/>
      <c r="P90" s="12" t="n"/>
    </row>
    <row r="91" ht="30" customHeight="1">
      <c r="A91" s="8" t="n"/>
      <c r="B91" s="9" t="n"/>
      <c r="C91" s="5" t="n"/>
      <c r="D91" s="5" t="n"/>
      <c r="E91" s="5" t="n"/>
      <c r="F91" s="8" t="n"/>
      <c r="G91" s="8" t="n"/>
      <c r="H91" s="8" t="n"/>
      <c r="I91" s="8" t="n"/>
      <c r="J91" s="8" t="n"/>
      <c r="K91" s="10" t="n"/>
      <c r="L91" s="11">
        <f>IF(OR(F91="",K91=""),"",K91/F91)</f>
        <v/>
      </c>
      <c r="M91" s="10">
        <f>IF(L91="","",IF(L91&gt;=1,"Hit","Missed"))</f>
        <v/>
      </c>
      <c r="N91" s="12" t="n"/>
      <c r="O91" s="12" t="n"/>
      <c r="P91" s="12" t="n"/>
    </row>
    <row r="92" ht="30" customHeight="1">
      <c r="A92" s="8" t="n"/>
      <c r="B92" s="9" t="n"/>
      <c r="C92" s="5" t="n"/>
      <c r="D92" s="5" t="n"/>
      <c r="E92" s="5" t="n"/>
      <c r="F92" s="8" t="n"/>
      <c r="G92" s="8" t="n"/>
      <c r="H92" s="8" t="n"/>
      <c r="I92" s="8" t="n"/>
      <c r="J92" s="8" t="n"/>
      <c r="K92" s="10" t="n"/>
      <c r="L92" s="11">
        <f>IF(OR(F92="",K92=""),"",K92/F92)</f>
        <v/>
      </c>
      <c r="M92" s="10">
        <f>IF(L92="","",IF(L92&gt;=1,"Hit","Missed"))</f>
        <v/>
      </c>
      <c r="N92" s="12" t="n"/>
      <c r="O92" s="12" t="n"/>
      <c r="P92" s="12" t="n"/>
    </row>
    <row r="93" ht="30" customHeight="1">
      <c r="A93" s="8" t="n"/>
      <c r="B93" s="9" t="n"/>
      <c r="C93" s="5" t="n"/>
      <c r="D93" s="5" t="n"/>
      <c r="E93" s="5" t="n"/>
      <c r="F93" s="8" t="n"/>
      <c r="G93" s="8" t="n"/>
      <c r="H93" s="8" t="n"/>
      <c r="I93" s="8" t="n"/>
      <c r="J93" s="8" t="n"/>
      <c r="K93" s="10" t="n"/>
      <c r="L93" s="11">
        <f>IF(OR(F93="",K93=""),"",K93/F93)</f>
        <v/>
      </c>
      <c r="M93" s="10">
        <f>IF(L93="","",IF(L93&gt;=1,"Hit","Missed"))</f>
        <v/>
      </c>
      <c r="N93" s="12" t="n"/>
      <c r="O93" s="12" t="n"/>
      <c r="P93" s="12" t="n"/>
    </row>
    <row r="94" ht="30" customHeight="1">
      <c r="A94" s="8" t="n"/>
      <c r="B94" s="9" t="n"/>
      <c r="C94" s="5" t="n"/>
      <c r="D94" s="5" t="n"/>
      <c r="E94" s="5" t="n"/>
      <c r="F94" s="8" t="n"/>
      <c r="G94" s="8" t="n"/>
      <c r="H94" s="8" t="n"/>
      <c r="I94" s="8" t="n"/>
      <c r="J94" s="8" t="n"/>
      <c r="K94" s="10" t="n"/>
      <c r="L94" s="11">
        <f>IF(OR(F94="",K94=""),"",K94/F94)</f>
        <v/>
      </c>
      <c r="M94" s="10">
        <f>IF(L94="","",IF(L94&gt;=1,"Hit","Missed"))</f>
        <v/>
      </c>
      <c r="N94" s="12" t="n"/>
      <c r="O94" s="12" t="n"/>
      <c r="P94" s="12" t="n"/>
    </row>
  </sheetData>
  <conditionalFormatting sqref="D5:D94">
    <cfRule type="expression" priority="1" dxfId="0">
      <formula>COUNTIF(G5:I5,"No")&gt;=2</formula>
    </cfRule>
  </conditionalFormatting>
  <conditionalFormatting sqref="M5:M94">
    <cfRule type="cellIs" priority="2" operator="equal" dxfId="1">
      <formula>"Hit"</formula>
    </cfRule>
  </conditionalFormatting>
  <dataValidations count="4">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showDropDown="0" showInputMessage="0" showErrorMessage="0" allowBlank="1" type="whole" operator="between">
      <formula1>1</formula1>
      <formula2>99</formula2>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showDropDown="0" showInputMessage="0" showErrorMessage="0" allowBlank="1" type="list">
      <formula1>=Group!$A$5:$A$11</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showDropDown="0" showInputMessage="0" showErrorMessage="0" allowBlank="1" type="list">
      <formula1>"Yes,No"</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showDropDown="0" showInputMessage="0" showErrorMessage="0" allowBlank="1" type="list">
      <formula1>"Too small,Right,Too big"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20" customWidth="1" min="1" max="1"/>
    <col width="12" customWidth="1" min="2" max="2"/>
    <col width="14" customWidth="1" min="3" max="3"/>
    <col width="10" customWidth="1" min="4" max="4"/>
    <col width="12" customWidth="1" min="5" max="5"/>
    <col width="16" customWidth="1" min="6" max="6"/>
    <col width="58" customWidth="1" min="7" max="7"/>
  </cols>
  <sheetData>
    <row r="1">
      <c r="A1" s="1" t="inlineStr">
        <is>
          <t>SCOREBOARD</t>
        </is>
      </c>
    </row>
    <row r="2">
      <c r="A2" s="2" t="inlineStr">
        <is>
          <t>Fills itself from the Goals sheet. Read it every meeting, before the next goals are set.</t>
        </is>
      </c>
    </row>
    <row r="4" ht="46" customHeight="1">
      <c r="A4" s="7" t="inlineStr">
        <is>
          <t>Team</t>
        </is>
      </c>
      <c r="B4" s="7" t="inlineStr">
        <is>
          <t>Goals set</t>
        </is>
      </c>
      <c r="C4" s="7" t="inlineStr">
        <is>
          <t>Goals reported</t>
        </is>
      </c>
      <c r="D4" s="7" t="inlineStr">
        <is>
          <t>Hit</t>
        </is>
      </c>
      <c r="E4" s="7" t="inlineStr">
        <is>
          <t>Hit rate</t>
        </is>
      </c>
      <c r="F4" s="7" t="inlineStr">
        <is>
          <t>Average share of target</t>
        </is>
      </c>
      <c r="G4" s="7" t="inlineStr">
        <is>
          <t>Read</t>
        </is>
      </c>
    </row>
    <row r="5" ht="30" customHeight="1">
      <c r="A5" s="5">
        <f>IF(Group!A5="","",Group!A5)</f>
        <v/>
      </c>
      <c r="B5" s="8">
        <f>IF(A5="","",COUNTIFS(Goals!$C$5:$C$94,A5,Goals!$D$5:$D$94,"&lt;&gt;"))</f>
        <v/>
      </c>
      <c r="C5" s="8">
        <f>IF(A5="","",COUNTIFS(Goals!$C$5:$C$94,A5,Goals!$K$5:$K$94,"&lt;&gt;"))</f>
        <v/>
      </c>
      <c r="D5" s="8">
        <f>IF(A5="","",COUNTIFS(Goals!$C$5:$C$94,A5,Goals!$M$5:$M$94,"Hit"))</f>
        <v/>
      </c>
      <c r="E5" s="13">
        <f>IF(OR(A5="",C5=0),"",D5/C5)</f>
        <v/>
      </c>
      <c r="F5" s="13">
        <f>IF(OR(A5="",C5=0),"",AVERAGEIFS(Goals!$L$5:$L$94,Goals!$C$5:$C$94,A5,Goals!$K$5:$K$94,"&lt;&gt;"))</f>
        <v/>
      </c>
      <c r="G5" s="5">
        <f>IF(OR(A5="",C5=""),"",IF(C5&lt;3,"Too early to read. Keep setting goals",IF(E5&gt;0.8,"Hitting almost everything. Raise the bar",IF(E5&lt;0.34,"Missing most goals. Cut to what you control and ask the group why","Ambitious and moving. Keep the pace"))))</f>
        <v/>
      </c>
    </row>
    <row r="6" ht="30" customHeight="1">
      <c r="A6" s="5">
        <f>IF(Group!A6="","",Group!A6)</f>
        <v/>
      </c>
      <c r="B6" s="8">
        <f>IF(A6="","",COUNTIFS(Goals!$C$5:$C$94,A6,Goals!$D$5:$D$94,"&lt;&gt;"))</f>
        <v/>
      </c>
      <c r="C6" s="8">
        <f>IF(A6="","",COUNTIFS(Goals!$C$5:$C$94,A6,Goals!$K$5:$K$94,"&lt;&gt;"))</f>
        <v/>
      </c>
      <c r="D6" s="8">
        <f>IF(A6="","",COUNTIFS(Goals!$C$5:$C$94,A6,Goals!$M$5:$M$94,"Hit"))</f>
        <v/>
      </c>
      <c r="E6" s="13">
        <f>IF(OR(A6="",C6=0),"",D6/C6)</f>
        <v/>
      </c>
      <c r="F6" s="13">
        <f>IF(OR(A6="",C6=0),"",AVERAGEIFS(Goals!$L$5:$L$94,Goals!$C$5:$C$94,A6,Goals!$K$5:$K$94,"&lt;&gt;"))</f>
        <v/>
      </c>
      <c r="G6" s="5">
        <f>IF(OR(A6="",C6=""),"",IF(C6&lt;3,"Too early to read. Keep setting goals",IF(E6&gt;0.8,"Hitting almost everything. Raise the bar",IF(E6&lt;0.34,"Missing most goals. Cut to what you control and ask the group why","Ambitious and moving. Keep the pace"))))</f>
        <v/>
      </c>
    </row>
    <row r="7" ht="30" customHeight="1">
      <c r="A7" s="5">
        <f>IF(Group!A7="","",Group!A7)</f>
        <v/>
      </c>
      <c r="B7" s="8">
        <f>IF(A7="","",COUNTIFS(Goals!$C$5:$C$94,A7,Goals!$D$5:$D$94,"&lt;&gt;"))</f>
        <v/>
      </c>
      <c r="C7" s="8">
        <f>IF(A7="","",COUNTIFS(Goals!$C$5:$C$94,A7,Goals!$K$5:$K$94,"&lt;&gt;"))</f>
        <v/>
      </c>
      <c r="D7" s="8">
        <f>IF(A7="","",COUNTIFS(Goals!$C$5:$C$94,A7,Goals!$M$5:$M$94,"Hit"))</f>
        <v/>
      </c>
      <c r="E7" s="13">
        <f>IF(OR(A7="",C7=0),"",D7/C7)</f>
        <v/>
      </c>
      <c r="F7" s="13">
        <f>IF(OR(A7="",C7=0),"",AVERAGEIFS(Goals!$L$5:$L$94,Goals!$C$5:$C$94,A7,Goals!$K$5:$K$94,"&lt;&gt;"))</f>
        <v/>
      </c>
      <c r="G7" s="5">
        <f>IF(OR(A7="",C7=""),"",IF(C7&lt;3,"Too early to read. Keep setting goals",IF(E7&gt;0.8,"Hitting almost everything. Raise the bar",IF(E7&lt;0.34,"Missing most goals. Cut to what you control and ask the group why","Ambitious and moving. Keep the pace"))))</f>
        <v/>
      </c>
    </row>
    <row r="8" ht="30" customHeight="1">
      <c r="A8" s="5">
        <f>IF(Group!A8="","",Group!A8)</f>
        <v/>
      </c>
      <c r="B8" s="8">
        <f>IF(A8="","",COUNTIFS(Goals!$C$5:$C$94,A8,Goals!$D$5:$D$94,"&lt;&gt;"))</f>
        <v/>
      </c>
      <c r="C8" s="8">
        <f>IF(A8="","",COUNTIFS(Goals!$C$5:$C$94,A8,Goals!$K$5:$K$94,"&lt;&gt;"))</f>
        <v/>
      </c>
      <c r="D8" s="8">
        <f>IF(A8="","",COUNTIFS(Goals!$C$5:$C$94,A8,Goals!$M$5:$M$94,"Hit"))</f>
        <v/>
      </c>
      <c r="E8" s="13">
        <f>IF(OR(A8="",C8=0),"",D8/C8)</f>
        <v/>
      </c>
      <c r="F8" s="13">
        <f>IF(OR(A8="",C8=0),"",AVERAGEIFS(Goals!$L$5:$L$94,Goals!$C$5:$C$94,A8,Goals!$K$5:$K$94,"&lt;&gt;"))</f>
        <v/>
      </c>
      <c r="G8" s="5">
        <f>IF(OR(A8="",C8=""),"",IF(C8&lt;3,"Too early to read. Keep setting goals",IF(E8&gt;0.8,"Hitting almost everything. Raise the bar",IF(E8&lt;0.34,"Missing most goals. Cut to what you control and ask the group why","Ambitious and moving. Keep the pace"))))</f>
        <v/>
      </c>
    </row>
    <row r="9" ht="30" customHeight="1">
      <c r="A9" s="5">
        <f>IF(Group!A9="","",Group!A9)</f>
        <v/>
      </c>
      <c r="B9" s="8">
        <f>IF(A9="","",COUNTIFS(Goals!$C$5:$C$94,A9,Goals!$D$5:$D$94,"&lt;&gt;"))</f>
        <v/>
      </c>
      <c r="C9" s="8">
        <f>IF(A9="","",COUNTIFS(Goals!$C$5:$C$94,A9,Goals!$K$5:$K$94,"&lt;&gt;"))</f>
        <v/>
      </c>
      <c r="D9" s="8">
        <f>IF(A9="","",COUNTIFS(Goals!$C$5:$C$94,A9,Goals!$M$5:$M$94,"Hit"))</f>
        <v/>
      </c>
      <c r="E9" s="13">
        <f>IF(OR(A9="",C9=0),"",D9/C9)</f>
        <v/>
      </c>
      <c r="F9" s="13">
        <f>IF(OR(A9="",C9=0),"",AVERAGEIFS(Goals!$L$5:$L$94,Goals!$C$5:$C$94,A9,Goals!$K$5:$K$94,"&lt;&gt;"))</f>
        <v/>
      </c>
      <c r="G9" s="5">
        <f>IF(OR(A9="",C9=""),"",IF(C9&lt;3,"Too early to read. Keep setting goals",IF(E9&gt;0.8,"Hitting almost everything. Raise the bar",IF(E9&lt;0.34,"Missing most goals. Cut to what you control and ask the group why","Ambitious and moving. Keep the pace"))))</f>
        <v/>
      </c>
    </row>
    <row r="10" ht="30" customHeight="1">
      <c r="A10" s="5">
        <f>IF(Group!A10="","",Group!A10)</f>
        <v/>
      </c>
      <c r="B10" s="8">
        <f>IF(A10="","",COUNTIFS(Goals!$C$5:$C$94,A10,Goals!$D$5:$D$94,"&lt;&gt;"))</f>
        <v/>
      </c>
      <c r="C10" s="8">
        <f>IF(A10="","",COUNTIFS(Goals!$C$5:$C$94,A10,Goals!$K$5:$K$94,"&lt;&gt;"))</f>
        <v/>
      </c>
      <c r="D10" s="8">
        <f>IF(A10="","",COUNTIFS(Goals!$C$5:$C$94,A10,Goals!$M$5:$M$94,"Hit"))</f>
        <v/>
      </c>
      <c r="E10" s="13">
        <f>IF(OR(A10="",C10=0),"",D10/C10)</f>
        <v/>
      </c>
      <c r="F10" s="13">
        <f>IF(OR(A10="",C10=0),"",AVERAGEIFS(Goals!$L$5:$L$94,Goals!$C$5:$C$94,A10,Goals!$K$5:$K$94,"&lt;&gt;"))</f>
        <v/>
      </c>
      <c r="G10" s="5">
        <f>IF(OR(A10="",C10=""),"",IF(C10&lt;3,"Too early to read. Keep setting goals",IF(E10&gt;0.8,"Hitting almost everything. Raise the bar",IF(E10&lt;0.34,"Missing most goals. Cut to what you control and ask the group why","Ambitious and moving. Keep the pace"))))</f>
        <v/>
      </c>
    </row>
    <row r="11" ht="30" customHeight="1">
      <c r="A11" s="5">
        <f>IF(Group!A11="","",Group!A11)</f>
        <v/>
      </c>
      <c r="B11" s="8">
        <f>IF(A11="","",COUNTIFS(Goals!$C$5:$C$94,A11,Goals!$D$5:$D$94,"&lt;&gt;"))</f>
        <v/>
      </c>
      <c r="C11" s="8">
        <f>IF(A11="","",COUNTIFS(Goals!$C$5:$C$94,A11,Goals!$K$5:$K$94,"&lt;&gt;"))</f>
        <v/>
      </c>
      <c r="D11" s="8">
        <f>IF(A11="","",COUNTIFS(Goals!$C$5:$C$94,A11,Goals!$M$5:$M$94,"Hit"))</f>
        <v/>
      </c>
      <c r="E11" s="13">
        <f>IF(OR(A11="",C11=0),"",D11/C11)</f>
        <v/>
      </c>
      <c r="F11" s="13">
        <f>IF(OR(A11="",C11=0),"",AVERAGEIFS(Goals!$L$5:$L$94,Goals!$C$5:$C$94,A11,Goals!$K$5:$K$94,"&lt;&gt;"))</f>
        <v/>
      </c>
      <c r="G11" s="5">
        <f>IF(OR(A11="",C11=""),"",IF(C11&lt;3,"Too early to read. Keep setting goals",IF(E11&gt;0.8,"Hitting almost everything. Raise the bar",IF(E11&lt;0.34,"Missing most goals. Cut to what you control and ask the group why","Ambitious and moving. Keep the pace"))))</f>
        <v/>
      </c>
    </row>
    <row r="13">
      <c r="A13" s="3" t="inlineStr">
        <is>
          <t>How to read it</t>
        </is>
      </c>
    </row>
    <row r="14">
      <c r="A14" s="14" t="inlineStr">
        <is>
          <t>Hit rate above 80%: the goals are too small. A team that hits every goal is not stretching.</t>
        </is>
      </c>
    </row>
    <row r="15">
      <c r="A15" s="14" t="inlineStr">
        <is>
          <t>Hit rate between about 34% and 80%: ambitious goals, most of them reached. Aim for about two in three.</t>
        </is>
      </c>
    </row>
    <row r="16">
      <c r="A16" s="14" t="inlineStr">
        <is>
          <t>Hit rate below about 34%: the goals are too big or the focus is off. Ask the group what blocked you.</t>
        </is>
      </c>
    </row>
    <row r="17">
      <c r="A17" s="14" t="inlineStr">
        <is>
          <t>Read only after 3 reported cycles. Before that, one miss or hit says little.</t>
        </is>
      </c>
    </row>
  </sheetData>
  <mergeCells count="4">
    <mergeCell ref="A14:G14"/>
    <mergeCell ref="A16:G16"/>
    <mergeCell ref="A15:G15"/>
    <mergeCell ref="A17:G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34" customWidth="1" min="1" max="1"/>
    <col width="40" customWidth="1" min="2" max="2"/>
    <col width="58" customWidth="1" min="3" max="3"/>
    <col width="44" customWidth="1" min="4" max="4"/>
  </cols>
  <sheetData>
    <row r="1">
      <c r="A1" s="1" t="inlineStr">
        <is>
          <t>WHAT GOOD LOOKS LIKE</t>
        </is>
      </c>
    </row>
    <row r="2">
      <c r="A2" s="2" t="inlineStr">
        <is>
          <t>Made-up examples. A good goal names a number, a date and something only a customer can give you.</t>
        </is>
      </c>
    </row>
    <row r="4" ht="46" customHeight="1">
      <c r="A4" s="7" t="inlineStr">
        <is>
          <t>Weak goal</t>
        </is>
      </c>
      <c r="B4" s="7" t="inlineStr">
        <is>
          <t>Why it is weak</t>
        </is>
      </c>
      <c r="C4" s="7" t="inlineStr">
        <is>
          <t>Good goal</t>
        </is>
      </c>
      <c r="D4" s="7" t="inlineStr">
        <is>
          <t>Why it is good</t>
        </is>
      </c>
    </row>
    <row r="5" ht="46" customHeight="1">
      <c r="A5" s="5" t="inlineStr">
        <is>
          <t>Do more interviews</t>
        </is>
      </c>
      <c r="B5" s="5" t="inlineStr">
        <is>
          <t>No number, no date, no one named</t>
        </is>
      </c>
      <c r="C5" s="12" t="inlineStr">
        <is>
          <t>Hold 30 problem conversations with named warehouse managers and get 10 to agree to a next step within two weeks</t>
        </is>
      </c>
      <c r="D5" s="12" t="inlineStr">
        <is>
          <t>Counts what customers do, and the next steps are your first prospects</t>
        </is>
      </c>
    </row>
    <row r="6" ht="46" customHeight="1">
      <c r="A6" s="5" t="inlineStr">
        <is>
          <t>Apply for EXIST</t>
        </is>
      </c>
      <c r="B6" s="5" t="inlineStr">
        <is>
          <t>A jury is not a customer. It teaches you nothing about demand</t>
        </is>
      </c>
      <c r="C6" s="12" t="inlineStr">
        <is>
          <t>Get 3 of our 10 hottest prospects to pay for a two-week pilot within two weeks</t>
        </is>
      </c>
      <c r="D6" s="12" t="inlineStr">
        <is>
          <t>A payment is the top of the evidence pyramid</t>
        </is>
      </c>
    </row>
    <row r="7" ht="46" customHeight="1">
      <c r="A7" s="5" t="inlineStr">
        <is>
          <t>Build the MVP</t>
        </is>
      </c>
      <c r="B7" s="5" t="inlineStr">
        <is>
          <t>Activity, not an outcome. Done when you say so</t>
        </is>
      </c>
      <c r="C7" s="12" t="inlineStr">
        <is>
          <t>5 users from our segment reach the outcome without our help, counted in the Use Log, within two weeks</t>
        </is>
      </c>
      <c r="D7" s="12" t="inlineStr">
        <is>
          <t>Measures use by real people, not features shipped</t>
        </is>
      </c>
    </row>
    <row r="8" ht="46" customHeight="1">
      <c r="A8" s="5" t="inlineStr">
        <is>
          <t>Grow on LinkedIn</t>
        </is>
      </c>
      <c r="B8" s="5" t="inlineStr">
        <is>
          <t>Followers and likes are vanity metrics</t>
        </is>
      </c>
      <c r="C8" s="12" t="inlineStr">
        <is>
          <t>Win 3 paying users from outside our social graph through direct outreach, shown in the payment dashboard</t>
        </is>
      </c>
      <c r="D8" s="12" t="inlineStr">
        <is>
          <t>Revenue from strangers, the course's hardest proof</t>
        </is>
      </c>
    </row>
    <row r="9" ht="46" customHeight="1">
      <c r="A9" s="5" t="inlineStr">
        <is>
          <t>Polish the pitch deck</t>
        </is>
      </c>
      <c r="B9" s="5" t="inlineStr">
        <is>
          <t>Nobody pays for a deck</t>
        </is>
      </c>
      <c r="C9" s="12" t="inlineStr">
        <is>
          <t>Reach EUR 1,000 cumulative revenue from outside our social graph by the next meeting</t>
        </is>
      </c>
      <c r="D9" s="12" t="inlineStr">
        <is>
          <t>The number on the deck matters more than the deck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2026-10-20T10:07:34Z</dcterms:created>
  <dcterms:modified xmlns:dcterms="http://purl.org/dc/terms/" xmlns:xsi="http://www.w3.org/2001/XMLSchema-instance" xsi:type="dcterms:W3CDTF">2026-10-20T10:07:34Z</dcterms:modified>
</cp:coreProperties>
</file>