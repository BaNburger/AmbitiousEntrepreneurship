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shboard" sheetId="1" state="visible" r:id="rId1"/>
    <sheet name="Interview Log" sheetId="2" state="visible" r:id="rId2"/>
    <sheet name="Team" sheetId="3" state="visible" r:id="rId3"/>
    <sheet name="Ideas" sheetId="4" state="visible" r:id="rId4"/>
    <sheet name="Pain Map" sheetId="5" state="visible" r:id="rId5"/>
    <sheet name="Experiment Tracker" sheetId="6" state="visible" r:id="rId6"/>
    <sheet name="Traffic Sources" sheetId="7" state="visible" r:id="rId7"/>
    <sheet name="KPI Tracker" sheetId="8" state="visible" r:id="rId8"/>
    <sheet name="Weekly Reflection" sheetId="9" state="visible" r:id="rId9"/>
    <sheet name="Self-Assessment" sheetId="10" state="visible" r:id="rId10"/>
    <sheet name="Evidence Pack" sheetId="11" state="visible" r:id="rId11"/>
    <sheet name="Revenue Ladder" sheetId="12" state="visible" r:id="rId12"/>
    <sheet name="Kill Criteria Log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%"/>
  </numFmts>
  <fonts count="2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0D4F6E"/>
      <sz val="20"/>
    </font>
    <font>
      <name val="Cambria"/>
      <charset val="1"/>
      <family val="0"/>
      <color rgb="FF0000FF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1E293B"/>
      <sz val="11"/>
    </font>
    <font>
      <name val="Cambria"/>
      <charset val="1"/>
      <family val="0"/>
      <b val="1"/>
      <color rgb="FF0D4F6E"/>
      <sz val="16"/>
    </font>
    <font>
      <name val="Cambria"/>
      <charset val="1"/>
      <family val="0"/>
      <b val="1"/>
      <color rgb="FF10B981"/>
      <sz val="14"/>
    </font>
    <font>
      <name val="Cambria"/>
      <charset val="1"/>
      <family val="0"/>
      <i val="1"/>
      <color rgb="FF64748B"/>
      <sz val="11"/>
    </font>
    <font>
      <name val="Cambria"/>
      <charset val="1"/>
      <family val="0"/>
      <i val="1"/>
      <color rgb="FF64748B"/>
      <sz val="9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0D4F6E"/>
      <sz val="14"/>
    </font>
    <font>
      <name val="Cambria"/>
      <charset val="1"/>
      <family val="0"/>
      <sz val="14"/>
    </font>
    <font>
      <b val="1"/>
      <sz val="13"/>
    </font>
    <font>
      <b val="1"/>
      <color rgb="00FFFFFF"/>
    </font>
    <font>
      <b val="1"/>
    </font>
    <font/>
    <font>
      <b val="1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FF0D4F6E"/>
        <bgColor rgb="FF333399"/>
      </patternFill>
    </fill>
    <fill>
      <patternFill patternType="solid">
        <fgColor rgb="FFF8FAFC"/>
        <bgColor rgb="FFFFFFFF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 wrapText="1"/>
    </xf>
    <xf numFmtId="164" fontId="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 wrapText="1"/>
    </xf>
    <xf numFmtId="164" fontId="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center" vertical="bottom"/>
    </xf>
    <xf numFmtId="0" fontId="15" fillId="0" borderId="0" pivotButton="0" quotePrefix="0" xfId="0"/>
    <xf numFmtId="0" fontId="16" fillId="4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D4F6E"/>
      <rgbColor rgb="FF10B981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25" customWidth="1" style="19" min="1" max="1"/>
    <col width="15" customWidth="1" style="19" min="2" max="3"/>
    <col width="30.01" customWidth="1" style="19" min="4" max="4"/>
  </cols>
  <sheetData>
    <row r="1" ht="15" customHeight="1" s="20">
      <c r="A1" s="21" t="inlineStr">
        <is>
          <t>Ambitious Entrepreneurship - Team Dashboard</t>
        </is>
      </c>
    </row>
    <row r="2" ht="15" customHeight="1" s="20">
      <c r="A2" s="19" t="inlineStr">
        <is>
          <t>Team Name:</t>
        </is>
      </c>
      <c r="B2" s="22" t="inlineStr">
        <is>
          <t>[Enter Team Name]</t>
        </is>
      </c>
      <c r="D2" s="19" t="inlineStr">
        <is>
          <t>Module:</t>
        </is>
      </c>
      <c r="E2" s="22" t="inlineStr">
        <is>
          <t>00</t>
        </is>
      </c>
    </row>
    <row r="4" ht="15" customHeight="1" s="20">
      <c r="A4" s="23" t="inlineStr">
        <is>
          <t>KEY METRICS</t>
        </is>
      </c>
    </row>
    <row r="5" ht="15" customHeight="1" s="20">
      <c r="A5" s="24" t="inlineStr">
        <is>
          <t>Metric</t>
        </is>
      </c>
      <c r="B5" s="24" t="inlineStr">
        <is>
          <t>Actual</t>
        </is>
      </c>
      <c r="C5" s="24" t="inlineStr">
        <is>
          <t>Target</t>
        </is>
      </c>
      <c r="D5" s="24" t="inlineStr">
        <is>
          <t>Status</t>
        </is>
      </c>
    </row>
    <row r="6" ht="15" customHeight="1" s="20">
      <c r="A6" s="19" t="inlineStr">
        <is>
          <t>Total Interviews</t>
        </is>
      </c>
      <c r="B6" s="19">
        <f>'Interview Log'!B2</f>
        <v/>
      </c>
      <c r="C6" s="19" t="inlineStr">
        <is>
          <t>100+</t>
        </is>
      </c>
      <c r="D6" s="19">
        <f>IF(B6&gt;=100,"✓","○")</f>
        <v/>
      </c>
    </row>
    <row r="7" ht="15" customHeight="1" s="20">
      <c r="A7" s="19" t="inlineStr">
        <is>
          <t>Interviews, last 7 days</t>
        </is>
      </c>
      <c r="B7" s="19">
        <f>COUNTIFS('Interview Log'!A:A,"&gt;="&amp;(TODAY()-6),'Interview Log'!A:A,"&lt;="&amp;TODAY())</f>
        <v/>
      </c>
      <c r="C7" s="19" t="inlineStr">
        <is>
          <t>15 per student (floor 5)</t>
        </is>
      </c>
      <c r="D7" s="19">
        <f>IF(B7&gt;=15,"✓","○")</f>
        <v/>
      </c>
    </row>
    <row r="8" ht="15" customHeight="1" s="20">
      <c r="A8" s="19" t="inlineStr">
        <is>
          <t>Experiments Completed</t>
        </is>
      </c>
      <c r="B8" s="19">
        <f>COUNTIF('Experiment Tracker'!F:F,"Complete")</f>
        <v/>
      </c>
      <c r="C8" s="19" t="inlineStr">
        <is>
          <t>12+</t>
        </is>
      </c>
      <c r="D8" s="19">
        <f>IF(B8&gt;=12,"✓","○")</f>
        <v/>
      </c>
    </row>
    <row r="9" ht="15" customHeight="1" s="20">
      <c r="A9" s="19" t="inlineStr">
        <is>
          <t>Tests passed</t>
        </is>
      </c>
      <c r="B9" s="19">
        <f>COUNTIF('Experiment Tracker'!G:G,"Passed")</f>
        <v/>
      </c>
      <c r="C9" s="19" t="inlineStr">
        <is>
          <t>-</t>
        </is>
      </c>
    </row>
    <row r="10" ht="15" customHeight="1" s="20">
      <c r="A10" s="19" t="inlineStr">
        <is>
          <t>Total Revenue (€)</t>
        </is>
      </c>
      <c r="B10" s="19">
        <f>'KPI Tracker'!C18</f>
        <v/>
      </c>
      <c r="C10" s="19" t="inlineStr">
        <is>
          <t>1000+</t>
        </is>
      </c>
      <c r="D10" s="19">
        <f>IF(B10&gt;=1000,"✓","○")</f>
        <v/>
      </c>
    </row>
    <row r="11" ht="15" customHeight="1" s="20">
      <c r="A11" s="19" t="inlineStr">
        <is>
          <t>Paying Customers</t>
        </is>
      </c>
      <c r="B11" s="19">
        <f>'KPI Tracker'!C19</f>
        <v/>
      </c>
      <c r="C11" s="19" t="inlineStr">
        <is>
          <t>5+</t>
        </is>
      </c>
      <c r="D11" s="19">
        <f>IF(B11&gt;=5,"✓","○")</f>
        <v/>
      </c>
    </row>
    <row r="13" ht="15" customHeight="1" s="20">
      <c r="A13" s="23" t="inlineStr">
        <is>
          <t>WEEKLY PROGRESS</t>
        </is>
      </c>
    </row>
    <row r="14" ht="15" customHeight="1" s="20">
      <c r="A14" s="24" t="inlineStr">
        <is>
          <t>Module</t>
        </is>
      </c>
      <c r="B14" s="24" t="inlineStr">
        <is>
          <t>Interviews</t>
        </is>
      </c>
      <c r="C14" s="24" t="inlineStr">
        <is>
          <t>Experiments</t>
        </is>
      </c>
      <c r="D14" s="24" t="inlineStr">
        <is>
          <t>Key Decision</t>
        </is>
      </c>
    </row>
    <row r="15" ht="15" customHeight="1" s="20">
      <c r="A15" s="19" t="inlineStr">
        <is>
          <t>Module 00</t>
        </is>
      </c>
      <c r="D15" s="22" t="n"/>
    </row>
    <row r="16" ht="15" customHeight="1" s="20">
      <c r="A16" s="19" t="inlineStr">
        <is>
          <t>Module 01</t>
        </is>
      </c>
      <c r="D16" s="22" t="n"/>
    </row>
    <row r="17" ht="15" customHeight="1" s="20">
      <c r="A17" s="19" t="inlineStr">
        <is>
          <t>Module 02</t>
        </is>
      </c>
      <c r="D17" s="22" t="n"/>
    </row>
    <row r="18" ht="15" customHeight="1" s="20">
      <c r="A18" s="19" t="inlineStr">
        <is>
          <t>Module 03</t>
        </is>
      </c>
      <c r="D18" s="22" t="n"/>
    </row>
    <row r="19" ht="15" customHeight="1" s="20">
      <c r="A19" s="19" t="inlineStr">
        <is>
          <t>Module 04</t>
        </is>
      </c>
      <c r="D19" s="22" t="n"/>
    </row>
    <row r="20" ht="15" customHeight="1" s="20">
      <c r="A20" s="19" t="inlineStr">
        <is>
          <t>Module 05</t>
        </is>
      </c>
      <c r="D20" s="22" t="n"/>
    </row>
    <row r="21" ht="15" customHeight="1" s="20">
      <c r="A21" s="19" t="inlineStr">
        <is>
          <t>Module 06</t>
        </is>
      </c>
      <c r="D21" s="22" t="n"/>
    </row>
    <row r="22" ht="15" customHeight="1" s="20">
      <c r="A22" s="19" t="inlineStr">
        <is>
          <t>Module 07</t>
        </is>
      </c>
      <c r="D22" s="22" t="n"/>
    </row>
    <row r="23" ht="15" customHeight="1" s="20">
      <c r="A23" s="19" t="inlineStr">
        <is>
          <t>Module 08</t>
        </is>
      </c>
      <c r="D23" s="22" t="n"/>
    </row>
    <row r="24" ht="15" customHeight="1" s="20">
      <c r="A24" s="19" t="inlineStr">
        <is>
          <t>Module 09</t>
        </is>
      </c>
      <c r="D24" s="22" t="n"/>
    </row>
    <row r="25" ht="15" customHeight="1" s="20">
      <c r="A25" s="19" t="inlineStr">
        <is>
          <t>Module 10</t>
        </is>
      </c>
      <c r="D25" s="22" t="n"/>
    </row>
    <row r="26" ht="15" customHeight="1" s="20">
      <c r="A26" s="19" t="inlineStr">
        <is>
          <t>Module 11</t>
        </is>
      </c>
      <c r="D26" s="22" t="n"/>
    </row>
    <row r="27">
      <c r="A27" s="19" t="inlineStr">
        <is>
          <t>Module 12</t>
        </is>
      </c>
      <c r="D27" s="22" t="n"/>
    </row>
  </sheetData>
  <mergeCells count="3">
    <mergeCell ref="A13:F13"/>
    <mergeCell ref="A1:F1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Q1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11.99" customWidth="1" style="19" min="1" max="1"/>
    <col width="8" customWidth="1" style="19" min="2" max="2"/>
    <col width="19.99" customWidth="1" style="19" min="3" max="3"/>
    <col width="15" customWidth="1" style="19" min="4" max="4"/>
    <col width="19.99" customWidth="1" style="19" min="5" max="5"/>
    <col width="30.01" customWidth="1" style="19" min="6" max="8"/>
    <col width="40" customWidth="1" style="19" min="9" max="9"/>
    <col width="25" customWidth="1" style="19" min="10" max="10"/>
    <col width="15" customWidth="1" style="19" min="11" max="11"/>
    <col width="25" customWidth="1" style="19" min="12" max="12"/>
    <col width="16" customWidth="1" style="19" min="13" max="13"/>
    <col width="30" customWidth="1" style="19" min="14" max="14"/>
    <col width="20" customWidth="1" style="19" min="15" max="15"/>
    <col width="22" customWidth="1" style="20" min="16" max="16"/>
    <col width="20" customWidth="1" style="20" min="17" max="17"/>
  </cols>
  <sheetData>
    <row r="1" ht="15" customHeight="1" s="20">
      <c r="A1" s="25" t="inlineStr">
        <is>
          <t>INTERVIEW LOG</t>
        </is>
      </c>
    </row>
    <row r="2" ht="15" customHeight="1" s="20">
      <c r="A2" s="19" t="inlineStr">
        <is>
          <t>Total Interviews:</t>
        </is>
      </c>
      <c r="B2" s="26">
        <f>COUNTA(A5:A1000)</f>
        <v/>
      </c>
      <c r="C2" s="27" t="inlineStr">
        <is>
          <t>Target: 100+ over semester</t>
        </is>
      </c>
    </row>
    <row r="4" ht="15" customHeight="1" s="20">
      <c r="A4" s="28" t="inlineStr">
        <is>
          <t>Date</t>
        </is>
      </c>
      <c r="B4" s="28" t="inlineStr">
        <is>
          <t>Week #</t>
        </is>
      </c>
      <c r="C4" s="28" t="inlineStr">
        <is>
          <t>Interviewee</t>
        </is>
      </c>
      <c r="D4" s="28" t="inlineStr">
        <is>
          <t>Role/Persona</t>
        </is>
      </c>
      <c r="E4" s="28" t="inlineStr">
        <is>
          <t>Company/Context</t>
        </is>
      </c>
      <c r="F4" s="28" t="inlineStr">
        <is>
          <t>Key Insight #1</t>
        </is>
      </c>
      <c r="G4" s="28" t="inlineStr">
        <is>
          <t>Key Insight #2</t>
        </is>
      </c>
      <c r="H4" s="28" t="inlineStr">
        <is>
          <t>Key Insight #3</t>
        </is>
      </c>
      <c r="I4" s="28" t="inlineStr">
        <is>
          <t>Notable Quote</t>
        </is>
      </c>
      <c r="J4" s="28" t="inlineStr">
        <is>
          <t>Pain Points (tags)</t>
        </is>
      </c>
      <c r="K4" s="28" t="inlineStr">
        <is>
          <t>Follow-up Needed?</t>
        </is>
      </c>
      <c r="L4" s="28" t="inlineStr">
        <is>
          <t>Recording Link</t>
        </is>
      </c>
      <c r="M4" s="28" t="inlineStr">
        <is>
          <t>Interviewer</t>
        </is>
      </c>
      <c r="N4" s="28" t="inlineStr">
        <is>
          <t>Agreed next step</t>
        </is>
      </c>
      <c r="O4" s="28" t="inlineStr">
        <is>
          <t>Raised unprompted? (yes/no/n/a)</t>
        </is>
      </c>
      <c r="P4" s="28" t="inlineStr">
        <is>
          <t>Cost today (hours or euros)</t>
        </is>
      </c>
      <c r="Q4" s="28" t="inlineStr">
        <is>
          <t>Segment</t>
        </is>
      </c>
    </row>
    <row r="5" ht="15" customHeight="1" s="20">
      <c r="A5" s="29" t="inlineStr">
        <is>
          <t>2025-10-15</t>
        </is>
      </c>
      <c r="B5" s="19">
        <f>IF(A5="","",WEEKNUM(A5,1)-WEEKNUM(DATE(YEAR(A5),1,1),1)+1)</f>
        <v/>
      </c>
      <c r="C5" s="19" t="inlineStr">
        <is>
          <t>Anna M.</t>
        </is>
      </c>
      <c r="D5" s="19" t="inlineStr">
        <is>
          <t>Product Manager</t>
        </is>
      </c>
      <c r="E5" s="19" t="inlineStr">
        <is>
          <t>Tech Startup</t>
        </is>
      </c>
      <c r="F5" s="19" t="inlineStr">
        <is>
          <t>Spends 3h/week on manual reporting</t>
        </is>
      </c>
      <c r="G5" s="19" t="inlineStr">
        <is>
          <t>Would pay €50/mo for automation</t>
        </is>
      </c>
      <c r="H5" s="19" t="inlineStr">
        <is>
          <t>Tried 2 competitors, both too complex</t>
        </is>
      </c>
      <c r="I5" s="19" t="inlineStr">
        <is>
          <t>"I just want it to work without reading docs"</t>
        </is>
      </c>
      <c r="J5" s="19" t="inlineStr">
        <is>
          <t>Time waste, Complexity</t>
        </is>
      </c>
      <c r="K5" s="22" t="inlineStr">
        <is>
          <t>Yes</t>
        </is>
      </c>
    </row>
    <row r="6" ht="15" customHeight="1" s="20">
      <c r="A6" s="29" t="n"/>
      <c r="B6" s="19">
        <f>IF(A6="","",WEEKNUM(A6,1)-WEEKNUM(DATE(YEAR(A6),1,1),1)+1)</f>
        <v/>
      </c>
      <c r="K6" s="22" t="n"/>
    </row>
    <row r="7" ht="15" customHeight="1" s="20">
      <c r="A7" s="29" t="n"/>
      <c r="B7" s="19">
        <f>IF(A7="","",WEEKNUM(A7,1)-WEEKNUM(DATE(YEAR(A7),1,1),1)+1)</f>
        <v/>
      </c>
      <c r="K7" s="22" t="n"/>
    </row>
    <row r="8" ht="15" customHeight="1" s="20">
      <c r="A8" s="29" t="n"/>
      <c r="B8" s="19">
        <f>IF(A8="","",WEEKNUM(A8,1)-WEEKNUM(DATE(YEAR(A8),1,1),1)+1)</f>
        <v/>
      </c>
      <c r="K8" s="22" t="n"/>
    </row>
    <row r="9" ht="15" customHeight="1" s="20">
      <c r="A9" s="29" t="n"/>
      <c r="B9" s="19">
        <f>IF(A9="","",WEEKNUM(A9,1)-WEEKNUM(DATE(YEAR(A9),1,1),1)+1)</f>
        <v/>
      </c>
      <c r="K9" s="22" t="n"/>
    </row>
    <row r="10" ht="15" customHeight="1" s="20">
      <c r="A10" s="29" t="n"/>
      <c r="B10" s="19">
        <f>IF(A10="","",WEEKNUM(A10,1)-WEEKNUM(DATE(YEAR(A10),1,1),1)+1)</f>
        <v/>
      </c>
      <c r="K10" s="22" t="n"/>
    </row>
    <row r="11" ht="15" customHeight="1" s="20">
      <c r="A11" s="29" t="n"/>
      <c r="B11" s="19">
        <f>IF(A11="","",WEEKNUM(A11,1)-WEEKNUM(DATE(YEAR(A11),1,1),1)+1)</f>
        <v/>
      </c>
      <c r="K11" s="22" t="n"/>
    </row>
    <row r="12" ht="15" customHeight="1" s="20">
      <c r="A12" s="29" t="n"/>
      <c r="B12" s="19">
        <f>IF(A12="","",WEEKNUM(A12,1)-WEEKNUM(DATE(YEAR(A12),1,1),1)+1)</f>
        <v/>
      </c>
      <c r="K12" s="22" t="n"/>
    </row>
    <row r="13" ht="15" customHeight="1" s="20">
      <c r="A13" s="29" t="n"/>
      <c r="B13" s="19">
        <f>IF(A13="","",WEEKNUM(A13,1)-WEEKNUM(DATE(YEAR(A13),1,1),1)+1)</f>
        <v/>
      </c>
      <c r="K13" s="22" t="n"/>
    </row>
    <row r="14" ht="15" customHeight="1" s="20">
      <c r="A14" s="29" t="n"/>
      <c r="B14" s="19">
        <f>IF(A14="","",WEEKNUM(A14,1)-WEEKNUM(DATE(YEAR(A14),1,1),1)+1)</f>
        <v/>
      </c>
      <c r="K14" s="22" t="n"/>
    </row>
    <row r="15" ht="15" customHeight="1" s="20">
      <c r="A15" s="29" t="n"/>
      <c r="B15" s="19">
        <f>IF(A15="","",WEEKNUM(A15,1)-WEEKNUM(DATE(YEAR(A15),1,1),1)+1)</f>
        <v/>
      </c>
      <c r="K15" s="22" t="n"/>
    </row>
    <row r="16" ht="15" customHeight="1" s="20">
      <c r="A16" s="29" t="n"/>
      <c r="B16" s="19">
        <f>IF(A16="","",WEEKNUM(A16,1)-WEEKNUM(DATE(YEAR(A16),1,1),1)+1)</f>
        <v/>
      </c>
      <c r="K16" s="22" t="n"/>
    </row>
    <row r="17" ht="15" customHeight="1" s="20">
      <c r="A17" s="29" t="n"/>
      <c r="B17" s="19">
        <f>IF(A17="","",WEEKNUM(A17,1)-WEEKNUM(DATE(YEAR(A17),1,1),1)+1)</f>
        <v/>
      </c>
      <c r="K17" s="22" t="n"/>
    </row>
    <row r="18" ht="15" customHeight="1" s="20">
      <c r="A18" s="29" t="n"/>
      <c r="B18" s="19">
        <f>IF(A18="","",WEEKNUM(A18,1)-WEEKNUM(DATE(YEAR(A18),1,1),1)+1)</f>
        <v/>
      </c>
      <c r="K18" s="22" t="n"/>
    </row>
    <row r="19" ht="15" customHeight="1" s="20">
      <c r="A19" s="29" t="n"/>
      <c r="B19" s="19">
        <f>IF(A19="","",WEEKNUM(A19,1)-WEEKNUM(DATE(YEAR(A19),1,1),1)+1)</f>
        <v/>
      </c>
      <c r="K19" s="22" t="n"/>
    </row>
    <row r="20" ht="15" customHeight="1" s="20">
      <c r="A20" s="29" t="n"/>
      <c r="B20" s="19">
        <f>IF(A20="","",WEEKNUM(A20,1)-WEEKNUM(DATE(YEAR(A20),1,1),1)+1)</f>
        <v/>
      </c>
      <c r="K20" s="22" t="n"/>
    </row>
    <row r="21" ht="15" customHeight="1" s="20">
      <c r="A21" s="29" t="n"/>
      <c r="B21" s="19">
        <f>IF(A21="","",WEEKNUM(A21,1)-WEEKNUM(DATE(YEAR(A21),1,1),1)+1)</f>
        <v/>
      </c>
      <c r="K21" s="22" t="n"/>
    </row>
    <row r="22" ht="15" customHeight="1" s="20">
      <c r="A22" s="29" t="n"/>
      <c r="B22" s="19">
        <f>IF(A22="","",WEEKNUM(A22,1)-WEEKNUM(DATE(YEAR(A22),1,1),1)+1)</f>
        <v/>
      </c>
      <c r="K22" s="22" t="n"/>
    </row>
    <row r="23" ht="15" customHeight="1" s="20">
      <c r="A23" s="29" t="n"/>
      <c r="B23" s="19">
        <f>IF(A23="","",WEEKNUM(A23,1)-WEEKNUM(DATE(YEAR(A23),1,1),1)+1)</f>
        <v/>
      </c>
      <c r="K23" s="22" t="n"/>
    </row>
    <row r="24" ht="15" customHeight="1" s="20">
      <c r="A24" s="29" t="n"/>
      <c r="B24" s="19">
        <f>IF(A24="","",WEEKNUM(A24,1)-WEEKNUM(DATE(YEAR(A24),1,1),1)+1)</f>
        <v/>
      </c>
      <c r="K24" s="22" t="n"/>
    </row>
    <row r="25" ht="15" customHeight="1" s="20">
      <c r="A25" s="29" t="n"/>
      <c r="B25" s="19">
        <f>IF(A25="","",WEEKNUM(A25,1)-WEEKNUM(DATE(YEAR(A25),1,1),1)+1)</f>
        <v/>
      </c>
      <c r="K25" s="22" t="n"/>
    </row>
    <row r="26" ht="15" customHeight="1" s="20">
      <c r="A26" s="29" t="n"/>
      <c r="B26" s="19">
        <f>IF(A26="","",WEEKNUM(A26,1)-WEEKNUM(DATE(YEAR(A26),1,1),1)+1)</f>
        <v/>
      </c>
      <c r="K26" s="22" t="n"/>
    </row>
    <row r="27" ht="15" customHeight="1" s="20">
      <c r="A27" s="29" t="n"/>
      <c r="B27" s="19">
        <f>IF(A27="","",WEEKNUM(A27,1)-WEEKNUM(DATE(YEAR(A27),1,1),1)+1)</f>
        <v/>
      </c>
      <c r="K27" s="22" t="n"/>
    </row>
    <row r="28" ht="15" customHeight="1" s="20">
      <c r="A28" s="29" t="n"/>
      <c r="B28" s="19">
        <f>IF(A28="","",WEEKNUM(A28,1)-WEEKNUM(DATE(YEAR(A28),1,1),1)+1)</f>
        <v/>
      </c>
      <c r="K28" s="22" t="n"/>
    </row>
    <row r="29" ht="15" customHeight="1" s="20">
      <c r="A29" s="29" t="n"/>
      <c r="B29" s="19">
        <f>IF(A29="","",WEEKNUM(A29,1)-WEEKNUM(DATE(YEAR(A29),1,1),1)+1)</f>
        <v/>
      </c>
      <c r="K29" s="22" t="n"/>
    </row>
    <row r="30" ht="15" customHeight="1" s="20">
      <c r="A30" s="29" t="n"/>
      <c r="B30" s="19">
        <f>IF(A30="","",WEEKNUM(A30,1)-WEEKNUM(DATE(YEAR(A30),1,1),1)+1)</f>
        <v/>
      </c>
      <c r="K30" s="22" t="n"/>
    </row>
    <row r="31" ht="15" customHeight="1" s="20">
      <c r="A31" s="29" t="n"/>
      <c r="B31" s="19">
        <f>IF(A31="","",WEEKNUM(A31,1)-WEEKNUM(DATE(YEAR(A31),1,1),1)+1)</f>
        <v/>
      </c>
      <c r="K31" s="22" t="n"/>
    </row>
    <row r="32" ht="15" customHeight="1" s="20">
      <c r="A32" s="29" t="n"/>
      <c r="B32" s="19">
        <f>IF(A32="","",WEEKNUM(A32,1)-WEEKNUM(DATE(YEAR(A32),1,1),1)+1)</f>
        <v/>
      </c>
      <c r="K32" s="22" t="n"/>
    </row>
    <row r="33" ht="15" customHeight="1" s="20">
      <c r="A33" s="29" t="n"/>
      <c r="B33" s="19">
        <f>IF(A33="","",WEEKNUM(A33,1)-WEEKNUM(DATE(YEAR(A33),1,1),1)+1)</f>
        <v/>
      </c>
      <c r="K33" s="22" t="n"/>
    </row>
    <row r="34" ht="15" customHeight="1" s="20">
      <c r="A34" s="29" t="n"/>
      <c r="B34" s="19">
        <f>IF(A34="","",WEEKNUM(A34,1)-WEEKNUM(DATE(YEAR(A34),1,1),1)+1)</f>
        <v/>
      </c>
      <c r="K34" s="22" t="n"/>
    </row>
    <row r="35" ht="15" customHeight="1" s="20">
      <c r="A35" s="29" t="n"/>
      <c r="B35" s="19">
        <f>IF(A35="","",WEEKNUM(A35,1)-WEEKNUM(DATE(YEAR(A35),1,1),1)+1)</f>
        <v/>
      </c>
      <c r="K35" s="22" t="n"/>
    </row>
    <row r="36" ht="15" customHeight="1" s="20">
      <c r="A36" s="29" t="n"/>
      <c r="B36" s="19">
        <f>IF(A36="","",WEEKNUM(A36,1)-WEEKNUM(DATE(YEAR(A36),1,1),1)+1)</f>
        <v/>
      </c>
      <c r="K36" s="22" t="n"/>
    </row>
    <row r="37" ht="15" customHeight="1" s="20">
      <c r="A37" s="29" t="n"/>
      <c r="B37" s="19">
        <f>IF(A37="","",WEEKNUM(A37,1)-WEEKNUM(DATE(YEAR(A37),1,1),1)+1)</f>
        <v/>
      </c>
      <c r="K37" s="22" t="n"/>
    </row>
    <row r="38" ht="15" customHeight="1" s="20">
      <c r="A38" s="29" t="n"/>
      <c r="B38" s="19">
        <f>IF(A38="","",WEEKNUM(A38,1)-WEEKNUM(DATE(YEAR(A38),1,1),1)+1)</f>
        <v/>
      </c>
      <c r="K38" s="22" t="n"/>
    </row>
    <row r="39" ht="15" customHeight="1" s="20">
      <c r="A39" s="29" t="n"/>
      <c r="B39" s="19">
        <f>IF(A39="","",WEEKNUM(A39,1)-WEEKNUM(DATE(YEAR(A39),1,1),1)+1)</f>
        <v/>
      </c>
      <c r="K39" s="22" t="n"/>
    </row>
    <row r="40" ht="15" customHeight="1" s="20">
      <c r="A40" s="29" t="n"/>
      <c r="B40" s="19">
        <f>IF(A40="","",WEEKNUM(A40,1)-WEEKNUM(DATE(YEAR(A40),1,1),1)+1)</f>
        <v/>
      </c>
      <c r="K40" s="22" t="n"/>
    </row>
    <row r="41" ht="15" customHeight="1" s="20">
      <c r="A41" s="29" t="n"/>
      <c r="B41" s="19">
        <f>IF(A41="","",WEEKNUM(A41,1)-WEEKNUM(DATE(YEAR(A41),1,1),1)+1)</f>
        <v/>
      </c>
      <c r="K41" s="22" t="n"/>
    </row>
    <row r="42" ht="15" customHeight="1" s="20">
      <c r="A42" s="29" t="n"/>
      <c r="B42" s="19">
        <f>IF(A42="","",WEEKNUM(A42,1)-WEEKNUM(DATE(YEAR(A42),1,1),1)+1)</f>
        <v/>
      </c>
      <c r="K42" s="22" t="n"/>
    </row>
    <row r="43" ht="15" customHeight="1" s="20">
      <c r="A43" s="29" t="n"/>
      <c r="B43" s="19">
        <f>IF(A43="","",WEEKNUM(A43,1)-WEEKNUM(DATE(YEAR(A43),1,1),1)+1)</f>
        <v/>
      </c>
      <c r="K43" s="22" t="n"/>
    </row>
    <row r="44" ht="15" customHeight="1" s="20">
      <c r="A44" s="29" t="n"/>
      <c r="B44" s="19">
        <f>IF(A44="","",WEEKNUM(A44,1)-WEEKNUM(DATE(YEAR(A44),1,1),1)+1)</f>
        <v/>
      </c>
      <c r="K44" s="22" t="n"/>
    </row>
    <row r="45" ht="15" customHeight="1" s="20">
      <c r="A45" s="29" t="n"/>
      <c r="B45" s="19">
        <f>IF(A45="","",WEEKNUM(A45,1)-WEEKNUM(DATE(YEAR(A45),1,1),1)+1)</f>
        <v/>
      </c>
      <c r="K45" s="22" t="n"/>
    </row>
    <row r="46" ht="15" customHeight="1" s="20">
      <c r="A46" s="29" t="n"/>
      <c r="B46" s="19">
        <f>IF(A46="","",WEEKNUM(A46,1)-WEEKNUM(DATE(YEAR(A46),1,1),1)+1)</f>
        <v/>
      </c>
      <c r="K46" s="22" t="n"/>
    </row>
    <row r="47" ht="15" customHeight="1" s="20">
      <c r="A47" s="29" t="n"/>
      <c r="B47" s="19">
        <f>IF(A47="","",WEEKNUM(A47,1)-WEEKNUM(DATE(YEAR(A47),1,1),1)+1)</f>
        <v/>
      </c>
      <c r="K47" s="22" t="n"/>
    </row>
    <row r="48" ht="15" customHeight="1" s="20">
      <c r="A48" s="29" t="n"/>
      <c r="B48" s="19">
        <f>IF(A48="","",WEEKNUM(A48,1)-WEEKNUM(DATE(YEAR(A48),1,1),1)+1)</f>
        <v/>
      </c>
      <c r="K48" s="22" t="n"/>
    </row>
    <row r="49" ht="15" customHeight="1" s="20">
      <c r="A49" s="29" t="n"/>
      <c r="B49" s="19">
        <f>IF(A49="","",WEEKNUM(A49,1)-WEEKNUM(DATE(YEAR(A49),1,1),1)+1)</f>
        <v/>
      </c>
      <c r="K49" s="22" t="n"/>
    </row>
    <row r="50" ht="15" customHeight="1" s="20">
      <c r="A50" s="29" t="n"/>
      <c r="B50" s="19">
        <f>IF(A50="","",WEEKNUM(A50,1)-WEEKNUM(DATE(YEAR(A50),1,1),1)+1)</f>
        <v/>
      </c>
      <c r="K50" s="22" t="n"/>
    </row>
    <row r="51" ht="15" customHeight="1" s="20">
      <c r="A51" s="29" t="n"/>
      <c r="B51" s="19">
        <f>IF(A51="","",WEEKNUM(A51,1)-WEEKNUM(DATE(YEAR(A51),1,1),1)+1)</f>
        <v/>
      </c>
      <c r="K51" s="22" t="n"/>
    </row>
    <row r="52" ht="15" customHeight="1" s="20">
      <c r="A52" s="29" t="n"/>
      <c r="B52" s="19">
        <f>IF(A52="","",WEEKNUM(A52,1)-WEEKNUM(DATE(YEAR(A52),1,1),1)+1)</f>
        <v/>
      </c>
      <c r="K52" s="22" t="n"/>
    </row>
    <row r="53" ht="15" customHeight="1" s="20">
      <c r="A53" s="29" t="n"/>
      <c r="B53" s="19">
        <f>IF(A53="","",WEEKNUM(A53,1)-WEEKNUM(DATE(YEAR(A53),1,1),1)+1)</f>
        <v/>
      </c>
      <c r="K53" s="22" t="n"/>
    </row>
    <row r="54" ht="15" customHeight="1" s="20">
      <c r="A54" s="29" t="n"/>
      <c r="B54" s="19">
        <f>IF(A54="","",WEEKNUM(A54,1)-WEEKNUM(DATE(YEAR(A54),1,1),1)+1)</f>
        <v/>
      </c>
      <c r="K54" s="22" t="n"/>
    </row>
    <row r="55" ht="15" customHeight="1" s="20">
      <c r="A55" s="29" t="n"/>
      <c r="B55" s="19">
        <f>IF(A55="","",WEEKNUM(A55,1)-WEEKNUM(DATE(YEAR(A55),1,1),1)+1)</f>
        <v/>
      </c>
      <c r="K55" s="22" t="n"/>
    </row>
    <row r="56" ht="15" customHeight="1" s="20">
      <c r="A56" s="29" t="n"/>
      <c r="B56" s="19">
        <f>IF(A56="","",WEEKNUM(A56,1)-WEEKNUM(DATE(YEAR(A56),1,1),1)+1)</f>
        <v/>
      </c>
      <c r="K56" s="22" t="n"/>
    </row>
    <row r="57" ht="15" customHeight="1" s="20">
      <c r="A57" s="29" t="n"/>
      <c r="B57" s="19">
        <f>IF(A57="","",WEEKNUM(A57,1)-WEEKNUM(DATE(YEAR(A57),1,1),1)+1)</f>
        <v/>
      </c>
      <c r="K57" s="22" t="n"/>
    </row>
    <row r="58" ht="15" customHeight="1" s="20">
      <c r="A58" s="29" t="n"/>
      <c r="B58" s="19">
        <f>IF(A58="","",WEEKNUM(A58,1)-WEEKNUM(DATE(YEAR(A58),1,1),1)+1)</f>
        <v/>
      </c>
      <c r="K58" s="22" t="n"/>
    </row>
    <row r="59" ht="15" customHeight="1" s="20">
      <c r="A59" s="29" t="n"/>
      <c r="B59" s="19">
        <f>IF(A59="","",WEEKNUM(A59,1)-WEEKNUM(DATE(YEAR(A59),1,1),1)+1)</f>
        <v/>
      </c>
      <c r="K59" s="22" t="n"/>
    </row>
    <row r="60" ht="15" customHeight="1" s="20">
      <c r="A60" s="29" t="n"/>
      <c r="B60" s="19">
        <f>IF(A60="","",WEEKNUM(A60,1)-WEEKNUM(DATE(YEAR(A60),1,1),1)+1)</f>
        <v/>
      </c>
      <c r="K60" s="22" t="n"/>
    </row>
    <row r="61" ht="15" customHeight="1" s="20">
      <c r="A61" s="29" t="n"/>
      <c r="B61" s="19">
        <f>IF(A61="","",WEEKNUM(A61,1)-WEEKNUM(DATE(YEAR(A61),1,1),1)+1)</f>
        <v/>
      </c>
      <c r="K61" s="22" t="n"/>
    </row>
    <row r="62" ht="15" customHeight="1" s="20">
      <c r="A62" s="29" t="n"/>
      <c r="B62" s="19">
        <f>IF(A62="","",WEEKNUM(A62,1)-WEEKNUM(DATE(YEAR(A62),1,1),1)+1)</f>
        <v/>
      </c>
      <c r="K62" s="22" t="n"/>
    </row>
    <row r="63" ht="15" customHeight="1" s="20">
      <c r="A63" s="29" t="n"/>
      <c r="B63" s="19">
        <f>IF(A63="","",WEEKNUM(A63,1)-WEEKNUM(DATE(YEAR(A63),1,1),1)+1)</f>
        <v/>
      </c>
      <c r="K63" s="22" t="n"/>
    </row>
    <row r="64" ht="15" customHeight="1" s="20">
      <c r="A64" s="29" t="n"/>
      <c r="B64" s="19">
        <f>IF(A64="","",WEEKNUM(A64,1)-WEEKNUM(DATE(YEAR(A64),1,1),1)+1)</f>
        <v/>
      </c>
      <c r="K64" s="22" t="n"/>
    </row>
    <row r="65" ht="15" customHeight="1" s="20">
      <c r="A65" s="29" t="n"/>
      <c r="B65" s="19">
        <f>IF(A65="","",WEEKNUM(A65,1)-WEEKNUM(DATE(YEAR(A65),1,1),1)+1)</f>
        <v/>
      </c>
      <c r="K65" s="22" t="n"/>
    </row>
    <row r="66" ht="15" customHeight="1" s="20">
      <c r="A66" s="29" t="n"/>
      <c r="B66" s="19">
        <f>IF(A66="","",WEEKNUM(A66,1)-WEEKNUM(DATE(YEAR(A66),1,1),1)+1)</f>
        <v/>
      </c>
      <c r="K66" s="22" t="n"/>
    </row>
    <row r="67" ht="15" customHeight="1" s="20">
      <c r="A67" s="29" t="n"/>
      <c r="B67" s="19">
        <f>IF(A67="","",WEEKNUM(A67,1)-WEEKNUM(DATE(YEAR(A67),1,1),1)+1)</f>
        <v/>
      </c>
      <c r="K67" s="22" t="n"/>
    </row>
    <row r="68" ht="15" customHeight="1" s="20">
      <c r="A68" s="29" t="n"/>
      <c r="B68" s="19">
        <f>IF(A68="","",WEEKNUM(A68,1)-WEEKNUM(DATE(YEAR(A68),1,1),1)+1)</f>
        <v/>
      </c>
      <c r="K68" s="22" t="n"/>
    </row>
    <row r="69" ht="15" customHeight="1" s="20">
      <c r="A69" s="29" t="n"/>
      <c r="B69" s="19">
        <f>IF(A69="","",WEEKNUM(A69,1)-WEEKNUM(DATE(YEAR(A69),1,1),1)+1)</f>
        <v/>
      </c>
      <c r="K69" s="22" t="n"/>
    </row>
    <row r="70" ht="15" customHeight="1" s="20">
      <c r="A70" s="29" t="n"/>
      <c r="B70" s="19">
        <f>IF(A70="","",WEEKNUM(A70,1)-WEEKNUM(DATE(YEAR(A70),1,1),1)+1)</f>
        <v/>
      </c>
      <c r="K70" s="22" t="n"/>
    </row>
    <row r="71" ht="15" customHeight="1" s="20">
      <c r="A71" s="29" t="n"/>
      <c r="B71" s="19">
        <f>IF(A71="","",WEEKNUM(A71,1)-WEEKNUM(DATE(YEAR(A71),1,1),1)+1)</f>
        <v/>
      </c>
      <c r="K71" s="22" t="n"/>
    </row>
    <row r="72" ht="15" customHeight="1" s="20">
      <c r="A72" s="29" t="n"/>
      <c r="B72" s="19">
        <f>IF(A72="","",WEEKNUM(A72,1)-WEEKNUM(DATE(YEAR(A72),1,1),1)+1)</f>
        <v/>
      </c>
      <c r="K72" s="22" t="n"/>
    </row>
    <row r="73" ht="15" customHeight="1" s="20">
      <c r="A73" s="29" t="n"/>
      <c r="B73" s="19">
        <f>IF(A73="","",WEEKNUM(A73,1)-WEEKNUM(DATE(YEAR(A73),1,1),1)+1)</f>
        <v/>
      </c>
      <c r="K73" s="22" t="n"/>
    </row>
    <row r="74" ht="15" customHeight="1" s="20">
      <c r="A74" s="29" t="n"/>
      <c r="B74" s="19">
        <f>IF(A74="","",WEEKNUM(A74,1)-WEEKNUM(DATE(YEAR(A74),1,1),1)+1)</f>
        <v/>
      </c>
      <c r="K74" s="22" t="n"/>
    </row>
    <row r="75" ht="15" customHeight="1" s="20">
      <c r="A75" s="29" t="n"/>
      <c r="B75" s="19">
        <f>IF(A75="","",WEEKNUM(A75,1)-WEEKNUM(DATE(YEAR(A75),1,1),1)+1)</f>
        <v/>
      </c>
      <c r="K75" s="22" t="n"/>
    </row>
    <row r="76" ht="15" customHeight="1" s="20">
      <c r="A76" s="29" t="n"/>
      <c r="B76" s="19">
        <f>IF(A76="","",WEEKNUM(A76,1)-WEEKNUM(DATE(YEAR(A76),1,1),1)+1)</f>
        <v/>
      </c>
      <c r="K76" s="22" t="n"/>
    </row>
    <row r="77" ht="15" customHeight="1" s="20">
      <c r="A77" s="29" t="n"/>
      <c r="B77" s="19">
        <f>IF(A77="","",WEEKNUM(A77,1)-WEEKNUM(DATE(YEAR(A77),1,1),1)+1)</f>
        <v/>
      </c>
      <c r="K77" s="22" t="n"/>
    </row>
    <row r="78" ht="15" customHeight="1" s="20">
      <c r="A78" s="29" t="n"/>
      <c r="B78" s="19">
        <f>IF(A78="","",WEEKNUM(A78,1)-WEEKNUM(DATE(YEAR(A78),1,1),1)+1)</f>
        <v/>
      </c>
      <c r="K78" s="22" t="n"/>
    </row>
    <row r="79" ht="15" customHeight="1" s="20">
      <c r="A79" s="29" t="n"/>
      <c r="B79" s="19">
        <f>IF(A79="","",WEEKNUM(A79,1)-WEEKNUM(DATE(YEAR(A79),1,1),1)+1)</f>
        <v/>
      </c>
      <c r="K79" s="22" t="n"/>
    </row>
    <row r="80" ht="15" customHeight="1" s="20">
      <c r="A80" s="29" t="n"/>
      <c r="B80" s="19">
        <f>IF(A80="","",WEEKNUM(A80,1)-WEEKNUM(DATE(YEAR(A80),1,1),1)+1)</f>
        <v/>
      </c>
      <c r="K80" s="22" t="n"/>
    </row>
    <row r="81" ht="15" customHeight="1" s="20">
      <c r="A81" s="29" t="n"/>
      <c r="B81" s="19">
        <f>IF(A81="","",WEEKNUM(A81,1)-WEEKNUM(DATE(YEAR(A81),1,1),1)+1)</f>
        <v/>
      </c>
      <c r="K81" s="22" t="n"/>
    </row>
    <row r="82" ht="15" customHeight="1" s="20">
      <c r="A82" s="29" t="n"/>
      <c r="B82" s="19">
        <f>IF(A82="","",WEEKNUM(A82,1)-WEEKNUM(DATE(YEAR(A82),1,1),1)+1)</f>
        <v/>
      </c>
      <c r="K82" s="22" t="n"/>
    </row>
    <row r="83" ht="15" customHeight="1" s="20">
      <c r="A83" s="29" t="n"/>
      <c r="B83" s="19">
        <f>IF(A83="","",WEEKNUM(A83,1)-WEEKNUM(DATE(YEAR(A83),1,1),1)+1)</f>
        <v/>
      </c>
      <c r="K83" s="22" t="n"/>
    </row>
    <row r="84" ht="15" customHeight="1" s="20">
      <c r="A84" s="29" t="n"/>
      <c r="B84" s="19">
        <f>IF(A84="","",WEEKNUM(A84,1)-WEEKNUM(DATE(YEAR(A84),1,1),1)+1)</f>
        <v/>
      </c>
      <c r="K84" s="22" t="n"/>
    </row>
    <row r="85" ht="15" customHeight="1" s="20">
      <c r="A85" s="29" t="n"/>
      <c r="B85" s="19">
        <f>IF(A85="","",WEEKNUM(A85,1)-WEEKNUM(DATE(YEAR(A85),1,1),1)+1)</f>
        <v/>
      </c>
      <c r="K85" s="22" t="n"/>
    </row>
    <row r="86" ht="15" customHeight="1" s="20">
      <c r="A86" s="29" t="n"/>
      <c r="B86" s="19">
        <f>IF(A86="","",WEEKNUM(A86,1)-WEEKNUM(DATE(YEAR(A86),1,1),1)+1)</f>
        <v/>
      </c>
      <c r="K86" s="22" t="n"/>
    </row>
    <row r="87" ht="15" customHeight="1" s="20">
      <c r="A87" s="29" t="n"/>
      <c r="B87" s="19">
        <f>IF(A87="","",WEEKNUM(A87,1)-WEEKNUM(DATE(YEAR(A87),1,1),1)+1)</f>
        <v/>
      </c>
      <c r="K87" s="22" t="n"/>
    </row>
    <row r="88" ht="15" customHeight="1" s="20">
      <c r="A88" s="29" t="n"/>
      <c r="B88" s="19">
        <f>IF(A88="","",WEEKNUM(A88,1)-WEEKNUM(DATE(YEAR(A88),1,1),1)+1)</f>
        <v/>
      </c>
      <c r="K88" s="22" t="n"/>
    </row>
    <row r="89" ht="15" customHeight="1" s="20">
      <c r="A89" s="29" t="n"/>
      <c r="B89" s="19">
        <f>IF(A89="","",WEEKNUM(A89,1)-WEEKNUM(DATE(YEAR(A89),1,1),1)+1)</f>
        <v/>
      </c>
      <c r="K89" s="22" t="n"/>
    </row>
    <row r="90" ht="15" customHeight="1" s="20">
      <c r="A90" s="29" t="n"/>
      <c r="B90" s="19">
        <f>IF(A90="","",WEEKNUM(A90,1)-WEEKNUM(DATE(YEAR(A90),1,1),1)+1)</f>
        <v/>
      </c>
      <c r="K90" s="22" t="n"/>
    </row>
    <row r="91" ht="15" customHeight="1" s="20">
      <c r="A91" s="29" t="n"/>
      <c r="B91" s="19">
        <f>IF(A91="","",WEEKNUM(A91,1)-WEEKNUM(DATE(YEAR(A91),1,1),1)+1)</f>
        <v/>
      </c>
      <c r="K91" s="22" t="n"/>
    </row>
    <row r="92" ht="15" customHeight="1" s="20">
      <c r="A92" s="29" t="n"/>
      <c r="B92" s="19">
        <f>IF(A92="","",WEEKNUM(A92,1)-WEEKNUM(DATE(YEAR(A92),1,1),1)+1)</f>
        <v/>
      </c>
      <c r="K92" s="22" t="n"/>
    </row>
    <row r="93" ht="15" customHeight="1" s="20">
      <c r="A93" s="29" t="n"/>
      <c r="B93" s="19">
        <f>IF(A93="","",WEEKNUM(A93,1)-WEEKNUM(DATE(YEAR(A93),1,1),1)+1)</f>
        <v/>
      </c>
      <c r="K93" s="22" t="n"/>
    </row>
    <row r="94" ht="15" customHeight="1" s="20">
      <c r="A94" s="29" t="n"/>
      <c r="B94" s="19">
        <f>IF(A94="","",WEEKNUM(A94,1)-WEEKNUM(DATE(YEAR(A94),1,1),1)+1)</f>
        <v/>
      </c>
      <c r="K94" s="22" t="n"/>
    </row>
    <row r="95" ht="15" customHeight="1" s="20">
      <c r="A95" s="29" t="n"/>
      <c r="B95" s="19">
        <f>IF(A95="","",WEEKNUM(A95,1)-WEEKNUM(DATE(YEAR(A95),1,1),1)+1)</f>
        <v/>
      </c>
      <c r="K95" s="22" t="n"/>
    </row>
    <row r="96" ht="15" customHeight="1" s="20">
      <c r="A96" s="29" t="n"/>
      <c r="B96" s="19">
        <f>IF(A96="","",WEEKNUM(A96,1)-WEEKNUM(DATE(YEAR(A96),1,1),1)+1)</f>
        <v/>
      </c>
      <c r="K96" s="22" t="n"/>
    </row>
    <row r="97" ht="15" customHeight="1" s="20">
      <c r="A97" s="29" t="n"/>
      <c r="B97" s="19">
        <f>IF(A97="","",WEEKNUM(A97,1)-WEEKNUM(DATE(YEAR(A97),1,1),1)+1)</f>
        <v/>
      </c>
      <c r="K97" s="22" t="n"/>
    </row>
    <row r="98" ht="15" customHeight="1" s="20">
      <c r="A98" s="29" t="n"/>
      <c r="B98" s="19">
        <f>IF(A98="","",WEEKNUM(A98,1)-WEEKNUM(DATE(YEAR(A98),1,1),1)+1)</f>
        <v/>
      </c>
      <c r="K98" s="22" t="n"/>
    </row>
    <row r="99" ht="15" customHeight="1" s="20">
      <c r="A99" s="29" t="n"/>
      <c r="B99" s="19">
        <f>IF(A99="","",WEEKNUM(A99,1)-WEEKNUM(DATE(YEAR(A99),1,1),1)+1)</f>
        <v/>
      </c>
      <c r="K99" s="22" t="n"/>
    </row>
    <row r="100" ht="15" customHeight="1" s="20">
      <c r="A100" s="29" t="n"/>
      <c r="B100" s="19">
        <f>IF(A100="","",WEEKNUM(A100,1)-WEEKNUM(DATE(YEAR(A100),1,1),1)+1)</f>
        <v/>
      </c>
      <c r="K100" s="22" t="n"/>
    </row>
    <row r="101" ht="15" customHeight="1" s="20">
      <c r="A101" s="29" t="n"/>
      <c r="B101" s="19">
        <f>IF(A101="","",WEEKNUM(A101,1)-WEEKNUM(DATE(YEAR(A101),1,1),1)+1)</f>
        <v/>
      </c>
      <c r="K101" s="22" t="n"/>
    </row>
    <row r="102" ht="15" customHeight="1" s="20">
      <c r="A102" s="29" t="n"/>
      <c r="B102" s="19">
        <f>IF(A102="","",WEEKNUM(A102,1)-WEEKNUM(DATE(YEAR(A102),1,1),1)+1)</f>
        <v/>
      </c>
      <c r="K102" s="22" t="n"/>
    </row>
    <row r="103" ht="15" customHeight="1" s="20">
      <c r="A103" s="29" t="n"/>
      <c r="B103" s="19">
        <f>IF(A103="","",WEEKNUM(A103,1)-WEEKNUM(DATE(YEAR(A103),1,1),1)+1)</f>
        <v/>
      </c>
      <c r="K103" s="22" t="n"/>
    </row>
    <row r="104" ht="15" customHeight="1" s="20">
      <c r="A104" s="29" t="n"/>
      <c r="B104" s="19">
        <f>IF(A104="","",WEEKNUM(A104,1)-WEEKNUM(DATE(YEAR(A104),1,1),1)+1)</f>
        <v/>
      </c>
      <c r="K104" s="22" t="n"/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30" customWidth="1" style="20" min="1" max="1"/>
    <col width="40" customWidth="1" style="20" min="2" max="2"/>
    <col width="28" customWidth="1" style="20" min="3" max="3"/>
    <col width="12" customWidth="1" style="20" min="4" max="4"/>
    <col width="14" customWidth="1" style="20" min="5" max="5"/>
    <col width="12" customWidth="1" style="20" min="6" max="6"/>
    <col width="22" customWidth="1" style="20" min="7" max="7"/>
    <col width="16" customWidth="1" style="20" min="8" max="8"/>
    <col width="20" customWidth="1" style="20" min="9" max="9"/>
    <col width="18" customWidth="1" style="20" min="10" max="10"/>
  </cols>
  <sheetData>
    <row r="1">
      <c r="A1" s="25" t="inlineStr">
        <is>
          <t>TEAM</t>
        </is>
      </c>
    </row>
    <row r="2">
      <c r="A2" s="19" t="inlineStr">
        <is>
          <t>Module 01. Every founder confirms the agreement after the end-of-week feedback round. Revisit it on the review date.</t>
        </is>
      </c>
    </row>
    <row r="4">
      <c r="A4" s="43" t="inlineStr">
        <is>
          <t>FOUNDERS</t>
        </is>
      </c>
    </row>
    <row r="5" ht="36" customHeight="1" s="20">
      <c r="A5" s="28" t="inlineStr">
        <is>
          <t>Founder</t>
        </is>
      </c>
      <c r="B5" s="28" t="inlineStr">
        <is>
          <t>Role</t>
        </is>
      </c>
      <c r="C5" s="28" t="inlineStr">
        <is>
          <t>Owns these decisions</t>
        </is>
      </c>
      <c r="D5" s="28" t="inlineStr">
        <is>
          <t>Tech (1-10)</t>
        </is>
      </c>
      <c r="E5" s="28" t="inlineStr">
        <is>
          <t>Product (1-10)</t>
        </is>
      </c>
      <c r="F5" s="28" t="inlineStr">
        <is>
          <t>Sales (1-10)</t>
        </is>
      </c>
      <c r="G5" s="28" t="inlineStr">
        <is>
          <t>Enjoys most</t>
        </is>
      </c>
      <c r="H5" s="28" t="inlineStr">
        <is>
          <t>Hours per week now</t>
        </is>
      </c>
      <c r="I5" s="28" t="inlineStr">
        <is>
          <t>Hours per week in 6 months</t>
        </is>
      </c>
      <c r="J5" s="28" t="inlineStr">
        <is>
          <t>Confirmed on (date)</t>
        </is>
      </c>
    </row>
    <row r="11">
      <c r="A11" s="43" t="inlineStr">
        <is>
          <t>AGREEMENT</t>
        </is>
      </c>
    </row>
    <row r="12" ht="36" customHeight="1" s="20">
      <c r="A12" s="28" t="inlineStr">
        <is>
          <t>Topic</t>
        </is>
      </c>
      <c r="B12" s="28" t="inlineStr">
        <is>
          <t>What we agreed</t>
        </is>
      </c>
      <c r="C12" s="28" t="inlineStr">
        <is>
          <t>Status (agreed, talk it through, dealbreaker)</t>
        </is>
      </c>
      <c r="D12" s="28" t="inlineStr">
        <is>
          <t>Revisit by (date)</t>
        </is>
      </c>
    </row>
    <row r="13">
      <c r="A13" s="19" t="inlineStr">
        <is>
          <t>Shared problem space</t>
        </is>
      </c>
    </row>
    <row r="14">
      <c r="A14" s="19" t="inlineStr">
        <is>
          <t>Startup or small business, how far, and why</t>
        </is>
      </c>
    </row>
    <row r="15">
      <c r="A15" s="19" t="inlineStr">
        <is>
          <t>Who decides what, and how we break ties</t>
        </is>
      </c>
    </row>
    <row r="16">
      <c r="A16" s="19" t="inlineStr">
        <is>
          <t>Time</t>
        </is>
      </c>
    </row>
    <row r="17">
      <c r="A17" s="19" t="inlineStr">
        <is>
          <t>Money: runway, salary needs, when and how we split equity</t>
        </is>
      </c>
    </row>
    <row r="18">
      <c r="A18" s="19" t="inlineStr">
        <is>
          <t>How a founder leaves</t>
        </is>
      </c>
    </row>
    <row r="19">
      <c r="A19" s="19" t="inlineStr">
        <is>
          <t>Our gap and how we close it (learn, recruit, pay)</t>
        </is>
      </c>
    </row>
    <row r="20">
      <c r="A20" s="19" t="inlineStr">
        <is>
          <t>Feedback routine</t>
        </is>
      </c>
    </row>
    <row r="21">
      <c r="A21" s="19" t="inlineStr">
        <is>
          <t>Review date</t>
        </is>
      </c>
    </row>
    <row r="22">
      <c r="A22" s="19" t="inlineStr">
        <is>
          <t>Changes after the end-of-week feedback round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4" customWidth="1" style="20" min="1" max="1"/>
    <col width="30" customWidth="1" style="20" min="2" max="2"/>
    <col width="10" customWidth="1" style="20" min="3" max="3"/>
    <col width="12" customWidth="1" style="20" min="4" max="4"/>
    <col width="22" customWidth="1" style="20" min="5" max="5"/>
    <col width="20" customWidth="1" style="20" min="6" max="6"/>
    <col width="22" customWidth="1" style="20" min="7" max="7"/>
    <col width="12" customWidth="1" style="20" min="8" max="8"/>
    <col width="22" customWidth="1" style="20" min="9" max="9"/>
    <col width="14" customWidth="1" style="20" min="10" max="10"/>
    <col width="30" customWidth="1" style="20" min="11" max="11"/>
  </cols>
  <sheetData>
    <row r="1">
      <c r="A1" s="25" t="inlineStr">
        <is>
          <t>IDEAS</t>
        </is>
      </c>
    </row>
    <row r="2">
      <c r="A2" s="19" t="inlineStr">
        <is>
          <t>Module 02. One row per idea, written as a problem someone has, not as a product. Mark every score heard (name the person) or assumed.</t>
        </is>
      </c>
    </row>
    <row r="3">
      <c r="A3" s="42" t="inlineStr">
        <is>
          <t>Our early-stage pitch (one to three sentences: our unique insight, why the problem is worth solving, what our team can execute):</t>
        </is>
      </c>
    </row>
    <row r="6" ht="48" customHeight="1" s="20">
      <c r="A6" s="28" t="inlineStr">
        <is>
          <t>Idea ([who] struggles with [what])</t>
        </is>
      </c>
      <c r="B6" s="28" t="inlineStr">
        <is>
          <t>Source (own itch, expertise or technology, shift in a field, something missing)</t>
        </is>
      </c>
      <c r="C6" s="28" t="inlineStr">
        <is>
          <t>Tier (S to F)</t>
        </is>
      </c>
      <c r="D6" s="28" t="inlineStr">
        <is>
          <t>Desirable (1-5)</t>
        </is>
      </c>
      <c r="E6" s="28" t="inlineStr">
        <is>
          <t>Desirable: heard (name) or assumed</t>
        </is>
      </c>
      <c r="F6" s="28" t="inlineStr">
        <is>
          <t>Viable (1-5): money or time spent today</t>
        </is>
      </c>
      <c r="G6" s="28" t="inlineStr">
        <is>
          <t>Viable: heard (name) or assumed</t>
        </is>
      </c>
      <c r="H6" s="28" t="inlineStr">
        <is>
          <t>Feasible (1-5)</t>
        </is>
      </c>
      <c r="I6" s="28" t="inlineStr">
        <is>
          <t>Feasible: heard (name) or assumed</t>
        </is>
      </c>
      <c r="J6" s="28" t="inlineStr">
        <is>
          <t>Kept or dropped</t>
        </is>
      </c>
      <c r="K6" s="28" t="inlineStr">
        <is>
          <t>Reason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5" sqref="A5"/>
    </sheetView>
  </sheetViews>
  <sheetFormatPr baseColWidth="8" defaultRowHeight="15"/>
  <cols>
    <col width="28" customWidth="1" style="19" min="1" max="1"/>
    <col width="32" customWidth="1" style="19" min="2" max="2"/>
    <col width="20" customWidth="1" style="19" min="3" max="3"/>
    <col width="32" customWidth="1" style="19" min="4" max="4"/>
    <col width="32" customWidth="1" style="19" min="5" max="5"/>
    <col width="24" customWidth="1" style="19" min="6" max="6"/>
  </cols>
  <sheetData>
    <row r="1" ht="15" customHeight="1" s="20">
      <c r="A1" s="25" t="inlineStr">
        <is>
          <t>PAIN MAP</t>
        </is>
      </c>
    </row>
    <row r="2" ht="15" customHeight="1" s="20">
      <c r="A2" s="19" t="inlineStr">
        <is>
          <t>One row per segment, as in the exemplar Pain Map. Mark each cell as heard (name the person) or assumed.</t>
        </is>
      </c>
    </row>
    <row r="4" ht="15" customHeight="1" s="20">
      <c r="A4" s="28" t="inlineStr">
        <is>
          <t>Segment</t>
        </is>
      </c>
      <c r="B4" s="28" t="inlineStr">
        <is>
          <t>Who we talked to (name, role)</t>
        </is>
      </c>
      <c r="C4" s="28" t="inlineStr">
        <is>
          <t>Frequency</t>
        </is>
      </c>
      <c r="D4" s="28" t="inlineStr">
        <is>
          <t>Intensity (one incident costs)</t>
        </is>
      </c>
      <c r="E4" s="28" t="inlineStr">
        <is>
          <t>Current spend / workaround</t>
        </is>
      </c>
      <c r="F4" s="28" t="inlineStr">
        <is>
          <t>Budget authority?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5.01" customWidth="1" style="19" min="1" max="1"/>
    <col width="25" customWidth="1" style="19" min="2" max="2"/>
    <col width="40" customWidth="1" style="19" min="3" max="3"/>
    <col width="30.01" customWidth="1" style="19" min="4" max="4"/>
    <col width="15" customWidth="1" style="19" min="5" max="5"/>
    <col width="11.99" customWidth="1" style="19" min="6" max="7"/>
    <col width="35" customWidth="1" style="19" min="8" max="8"/>
    <col width="11.99" customWidth="1" style="19" min="9" max="9"/>
    <col width="30.01" customWidth="1" style="19" min="10" max="10"/>
    <col width="14.01" customWidth="1" style="19" min="11" max="11"/>
    <col width="28" customWidth="1" style="20" min="12" max="12"/>
  </cols>
  <sheetData>
    <row r="1" ht="15" customHeight="1" s="20">
      <c r="A1" s="25" t="inlineStr">
        <is>
          <t>EXPERIMENT TRACKER</t>
        </is>
      </c>
    </row>
    <row r="2" ht="15" customHeight="1" s="20">
      <c r="A2" s="27" t="inlineStr">
        <is>
          <t>Build → Measure → Learn</t>
        </is>
      </c>
    </row>
    <row r="3" ht="15" customHeight="1" s="20">
      <c r="A3" s="19" t="inlineStr">
        <is>
          <t>Total:</t>
        </is>
      </c>
      <c r="B3" s="19">
        <f>COUNTA(A6:A200)</f>
        <v/>
      </c>
      <c r="C3" s="19" t="inlineStr">
        <is>
          <t>Passed:</t>
        </is>
      </c>
      <c r="D3" s="19">
        <f>COUNTIF(G:G,"Passed")</f>
        <v/>
      </c>
      <c r="E3" s="19" t="inlineStr">
        <is>
          <t>Failed:</t>
        </is>
      </c>
      <c r="F3" s="19">
        <f>COUNTIF(G:G,"Failed")</f>
        <v/>
      </c>
    </row>
    <row r="4" ht="15" customHeight="1" s="20">
      <c r="E4" s="30" t="inlineStr">
        <is>
          <t>Methods: Interview, Survey, Landing Page, Prototype, Ad Test, Pricing Test</t>
        </is>
      </c>
      <c r="F4" s="30" t="inlineStr">
        <is>
          <t>Status: Planned, Running, Complete</t>
        </is>
      </c>
      <c r="G4" s="30" t="inlineStr">
        <is>
          <t>Result: Passed, Failed, Inconclusive (against the line written before the test)</t>
        </is>
      </c>
      <c r="I4" s="30" t="inlineStr">
        <is>
          <t>Decision: Go, Pivot, Kill</t>
        </is>
      </c>
      <c r="L4" s="19" t="inlineStr">
        <is>
          <t>Evidence level: None (our opinion), Anecdotal, Qualitative interviews, Quantitative (survey or landing page), Wireframe mockup, Functional prototype, Paid. Only Paid validates.</t>
        </is>
      </c>
    </row>
    <row r="5" ht="15" customHeight="1" s="20">
      <c r="A5" s="28" t="inlineStr">
        <is>
          <t>#</t>
        </is>
      </c>
      <c r="B5" s="28" t="inlineStr">
        <is>
          <t>Experiment Name</t>
        </is>
      </c>
      <c r="C5" s="28" t="inlineStr">
        <is>
          <t>Hypothesis</t>
        </is>
      </c>
      <c r="D5" s="28" t="inlineStr">
        <is>
          <t>Success Criteria</t>
        </is>
      </c>
      <c r="E5" s="28" t="inlineStr">
        <is>
          <t>Method</t>
        </is>
      </c>
      <c r="F5" s="28" t="inlineStr">
        <is>
          <t>Status</t>
        </is>
      </c>
      <c r="G5" s="28" t="inlineStr">
        <is>
          <t>Result</t>
        </is>
      </c>
      <c r="H5" s="28" t="inlineStr">
        <is>
          <t>Evidence/Data</t>
        </is>
      </c>
      <c r="I5" s="28" t="inlineStr">
        <is>
          <t>Decision</t>
        </is>
      </c>
      <c r="J5" s="28" t="inlineStr">
        <is>
          <t>Next Action</t>
        </is>
      </c>
      <c r="K5" s="28" t="inlineStr">
        <is>
          <t>Date Completed</t>
        </is>
      </c>
      <c r="L5" s="28" t="inlineStr">
        <is>
          <t>Evidence level (pyramid rung)</t>
        </is>
      </c>
    </row>
    <row r="6" ht="15" customHeight="1" s="20">
      <c r="A6" s="19" t="n">
        <v>1</v>
      </c>
      <c r="B6" s="19" t="inlineStr">
        <is>
          <t>Problem validation - time waste</t>
        </is>
      </c>
      <c r="C6" s="19" t="inlineStr">
        <is>
          <t>PMs spend &gt;2h/week on manual reporting</t>
        </is>
      </c>
      <c r="D6" s="19" t="inlineStr">
        <is>
          <t>8/10 interviewees confirm &gt;2h/week</t>
        </is>
      </c>
      <c r="E6" s="19" t="inlineStr">
        <is>
          <t>Interview</t>
        </is>
      </c>
      <c r="F6" s="19" t="inlineStr">
        <is>
          <t>Complete</t>
        </is>
      </c>
      <c r="G6" s="19" t="inlineStr">
        <is>
          <t>Passed</t>
        </is>
      </c>
      <c r="H6" s="19" t="inlineStr">
        <is>
          <t>9/10 confirmed, avg 3.2h/week</t>
        </is>
      </c>
      <c r="I6" s="19" t="inlineStr">
        <is>
          <t>Go</t>
        </is>
      </c>
      <c r="J6" s="19" t="inlineStr">
        <is>
          <t>Test solution concepts</t>
        </is>
      </c>
      <c r="K6" s="19" t="inlineStr">
        <is>
          <t>2025-10-20</t>
        </is>
      </c>
      <c r="L6" s="19" t="inlineStr">
        <is>
          <t>Qualitative interviews</t>
        </is>
      </c>
    </row>
    <row r="7" ht="15" customHeight="1" s="20">
      <c r="A7" s="19">
        <f>IF(B7="","",ROW()-5)</f>
        <v/>
      </c>
      <c r="K7" s="31" t="n"/>
    </row>
    <row r="8" ht="15" customHeight="1" s="20">
      <c r="A8" s="19">
        <f>IF(B8="","",ROW()-5)</f>
        <v/>
      </c>
      <c r="K8" s="31" t="n"/>
    </row>
    <row r="9" ht="15" customHeight="1" s="20">
      <c r="A9" s="19">
        <f>IF(B9="","",ROW()-5)</f>
        <v/>
      </c>
      <c r="K9" s="31" t="n"/>
    </row>
    <row r="10" ht="15" customHeight="1" s="20">
      <c r="A10" s="19">
        <f>IF(B10="","",ROW()-5)</f>
        <v/>
      </c>
      <c r="K10" s="31" t="n"/>
    </row>
    <row r="11" ht="15" customHeight="1" s="20">
      <c r="A11" s="19">
        <f>IF(B11="","",ROW()-5)</f>
        <v/>
      </c>
      <c r="K11" s="31" t="n"/>
    </row>
    <row r="12" ht="15" customHeight="1" s="20">
      <c r="A12" s="19">
        <f>IF(B12="","",ROW()-5)</f>
        <v/>
      </c>
      <c r="K12" s="31" t="n"/>
    </row>
    <row r="13" ht="15" customHeight="1" s="20">
      <c r="A13" s="19">
        <f>IF(B13="","",ROW()-5)</f>
        <v/>
      </c>
      <c r="K13" s="31" t="n"/>
    </row>
    <row r="14" ht="15" customHeight="1" s="20">
      <c r="A14" s="19">
        <f>IF(B14="","",ROW()-5)</f>
        <v/>
      </c>
      <c r="K14" s="31" t="n"/>
    </row>
    <row r="15" ht="15" customHeight="1" s="20">
      <c r="A15" s="19">
        <f>IF(B15="","",ROW()-5)</f>
        <v/>
      </c>
      <c r="K15" s="31" t="n"/>
    </row>
    <row r="16" ht="15" customHeight="1" s="20">
      <c r="A16" s="19">
        <f>IF(B16="","",ROW()-5)</f>
        <v/>
      </c>
      <c r="K16" s="31" t="n"/>
    </row>
    <row r="17" ht="15" customHeight="1" s="20">
      <c r="A17" s="19">
        <f>IF(B17="","",ROW()-5)</f>
        <v/>
      </c>
      <c r="K17" s="31" t="n"/>
    </row>
    <row r="18" ht="15" customHeight="1" s="20">
      <c r="A18" s="19">
        <f>IF(B18="","",ROW()-5)</f>
        <v/>
      </c>
      <c r="K18" s="31" t="n"/>
    </row>
    <row r="19" ht="15" customHeight="1" s="20">
      <c r="A19" s="19">
        <f>IF(B19="","",ROW()-5)</f>
        <v/>
      </c>
      <c r="K19" s="31" t="n"/>
    </row>
    <row r="20" ht="15" customHeight="1" s="20">
      <c r="A20" s="19">
        <f>IF(B20="","",ROW()-5)</f>
        <v/>
      </c>
      <c r="K20" s="31" t="n"/>
    </row>
    <row r="21" ht="15" customHeight="1" s="20">
      <c r="A21" s="19">
        <f>IF(B21="","",ROW()-5)</f>
        <v/>
      </c>
      <c r="K21" s="31" t="n"/>
    </row>
    <row r="22" ht="15" customHeight="1" s="20">
      <c r="A22" s="19">
        <f>IF(B22="","",ROW()-5)</f>
        <v/>
      </c>
      <c r="K22" s="31" t="n"/>
    </row>
    <row r="23" ht="15" customHeight="1" s="20">
      <c r="A23" s="19">
        <f>IF(B23="","",ROW()-5)</f>
        <v/>
      </c>
      <c r="K23" s="31" t="n"/>
    </row>
    <row r="24" ht="15" customHeight="1" s="20">
      <c r="A24" s="19">
        <f>IF(B24="","",ROW()-5)</f>
        <v/>
      </c>
      <c r="K24" s="31" t="n"/>
    </row>
    <row r="25" ht="15" customHeight="1" s="20">
      <c r="A25" s="19">
        <f>IF(B25="","",ROW()-5)</f>
        <v/>
      </c>
      <c r="K25" s="31" t="n"/>
    </row>
    <row r="26" ht="15" customHeight="1" s="20">
      <c r="A26" s="19">
        <f>IF(B26="","",ROW()-5)</f>
        <v/>
      </c>
      <c r="K26" s="31" t="n"/>
    </row>
    <row r="27" ht="15" customHeight="1" s="20">
      <c r="A27" s="19">
        <f>IF(B27="","",ROW()-5)</f>
        <v/>
      </c>
      <c r="K27" s="31" t="n"/>
    </row>
    <row r="28" ht="15" customHeight="1" s="20">
      <c r="A28" s="19">
        <f>IF(B28="","",ROW()-5)</f>
        <v/>
      </c>
      <c r="K28" s="31" t="n"/>
    </row>
    <row r="29" ht="15" customHeight="1" s="20">
      <c r="A29" s="19">
        <f>IF(B29="","",ROW()-5)</f>
        <v/>
      </c>
      <c r="K29" s="31" t="n"/>
    </row>
    <row r="30" ht="15" customHeight="1" s="20">
      <c r="A30" s="19">
        <f>IF(B30="","",ROW()-5)</f>
        <v/>
      </c>
      <c r="K30" s="31" t="n"/>
    </row>
    <row r="31" ht="15" customHeight="1" s="20">
      <c r="A31" s="19">
        <f>IF(B31="","",ROW()-5)</f>
        <v/>
      </c>
      <c r="K31" s="31" t="n"/>
    </row>
    <row r="32" ht="15" customHeight="1" s="20">
      <c r="A32" s="19">
        <f>IF(B32="","",ROW()-5)</f>
        <v/>
      </c>
      <c r="K32" s="31" t="n"/>
    </row>
    <row r="33" ht="15" customHeight="1" s="20">
      <c r="A33" s="19">
        <f>IF(B33="","",ROW()-5)</f>
        <v/>
      </c>
      <c r="K33" s="31" t="n"/>
    </row>
    <row r="34" ht="15" customHeight="1" s="20">
      <c r="A34" s="19">
        <f>IF(B34="","",ROW()-5)</f>
        <v/>
      </c>
      <c r="K34" s="31" t="n"/>
    </row>
    <row r="35" ht="15" customHeight="1" s="20">
      <c r="A35" s="19">
        <f>IF(B35="","",ROW()-5)</f>
        <v/>
      </c>
      <c r="K35" s="31" t="n"/>
    </row>
    <row r="36" ht="15" customHeight="1" s="20">
      <c r="A36" s="19">
        <f>IF(B36="","",ROW()-5)</f>
        <v/>
      </c>
      <c r="K36" s="31" t="n"/>
    </row>
    <row r="37" ht="15" customHeight="1" s="20">
      <c r="A37" s="19">
        <f>IF(B37="","",ROW()-5)</f>
        <v/>
      </c>
      <c r="K37" s="31" t="n"/>
    </row>
    <row r="38" ht="15" customHeight="1" s="20">
      <c r="A38" s="19">
        <f>IF(B38="","",ROW()-5)</f>
        <v/>
      </c>
      <c r="K38" s="31" t="n"/>
    </row>
    <row r="39" ht="15" customHeight="1" s="20">
      <c r="A39" s="19">
        <f>IF(B39="","",ROW()-5)</f>
        <v/>
      </c>
      <c r="K39" s="31" t="n"/>
    </row>
    <row r="40" ht="15" customHeight="1" s="20">
      <c r="A40" s="19">
        <f>IF(B40="","",ROW()-5)</f>
        <v/>
      </c>
      <c r="K40" s="31" t="n"/>
    </row>
    <row r="41" ht="15" customHeight="1" s="20">
      <c r="A41" s="19">
        <f>IF(B41="","",ROW()-5)</f>
        <v/>
      </c>
      <c r="K41" s="31" t="n"/>
    </row>
    <row r="42" ht="15" customHeight="1" s="20">
      <c r="A42" s="19">
        <f>IF(B42="","",ROW()-5)</f>
        <v/>
      </c>
      <c r="K42" s="31" t="n"/>
    </row>
    <row r="43" ht="15" customHeight="1" s="20">
      <c r="A43" s="19">
        <f>IF(B43="","",ROW()-5)</f>
        <v/>
      </c>
      <c r="K43" s="31" t="n"/>
    </row>
    <row r="44" ht="15" customHeight="1" s="20">
      <c r="A44" s="19">
        <f>IF(B44="","",ROW()-5)</f>
        <v/>
      </c>
      <c r="K44" s="31" t="n"/>
    </row>
    <row r="45" ht="15" customHeight="1" s="20">
      <c r="A45" s="19">
        <f>IF(B45="","",ROW()-5)</f>
        <v/>
      </c>
      <c r="K45" s="31" t="n"/>
    </row>
    <row r="46" ht="15" customHeight="1" s="20">
      <c r="A46" s="19">
        <f>IF(B46="","",ROW()-5)</f>
        <v/>
      </c>
      <c r="K46" s="31" t="n"/>
    </row>
    <row r="47" ht="15" customHeight="1" s="20">
      <c r="A47" s="19">
        <f>IF(B47="","",ROW()-5)</f>
        <v/>
      </c>
      <c r="K47" s="31" t="n"/>
    </row>
    <row r="48" ht="15" customHeight="1" s="20">
      <c r="A48" s="19">
        <f>IF(B48="","",ROW()-5)</f>
        <v/>
      </c>
      <c r="K48" s="31" t="n"/>
    </row>
    <row r="49" ht="15" customHeight="1" s="20">
      <c r="A49" s="19">
        <f>IF(B49="","",ROW()-5)</f>
        <v/>
      </c>
      <c r="K49" s="31" t="n"/>
    </row>
  </sheetData>
  <mergeCells count="1"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2" customWidth="1" style="20" min="1" max="1"/>
    <col width="10" customWidth="1" style="20" min="2" max="2"/>
    <col width="14" customWidth="1" style="20" min="3" max="3"/>
    <col width="28" customWidth="1" style="20" min="4" max="4"/>
    <col width="34" customWidth="1" style="20" min="5" max="5"/>
    <col width="16" customWidth="1" style="20" min="6" max="6"/>
    <col width="14" customWidth="1" style="20" min="7" max="7"/>
    <col width="10" customWidth="1" style="20" min="8" max="8"/>
    <col width="14" customWidth="1" style="20" min="9" max="9"/>
    <col width="16" customWidth="1" style="20" min="10" max="10"/>
    <col width="28" customWidth="1" style="20" min="11" max="11"/>
  </cols>
  <sheetData>
    <row r="1">
      <c r="A1" s="25" t="inlineStr">
        <is>
          <t>TRAFFIC SOURCES</t>
        </is>
      </c>
    </row>
    <row r="2">
      <c r="A2" s="19" t="inlineStr">
        <is>
          <t>Module 04. One row per source and link. Only visitors and sign-ups from your segment count toward the bar and the line. Ads and friends never count.</t>
        </is>
      </c>
    </row>
    <row r="4" ht="48" customHeight="1" s="20">
      <c r="A4" s="28" t="inlineStr">
        <is>
          <t>Date</t>
        </is>
      </c>
      <c r="B4" s="28" t="inlineStr">
        <is>
          <t>Module</t>
        </is>
      </c>
      <c r="C4" s="28" t="inlineStr">
        <is>
          <t>Experiment # (Experiment Tracker)</t>
        </is>
      </c>
      <c r="D4" s="28" t="inlineStr">
        <is>
          <t>Source (channel and place)</t>
        </is>
      </c>
      <c r="E4" s="28" t="inlineStr">
        <is>
          <t>Tagged link (utm_source, utm_content)</t>
        </is>
      </c>
      <c r="F4" s="28" t="inlineStr">
        <is>
          <t>Brought by (student)</t>
        </is>
      </c>
      <c r="G4" s="28" t="inlineStr">
        <is>
          <t>Segment? (yes, mixed, no)</t>
        </is>
      </c>
      <c r="H4" s="28" t="inlineStr">
        <is>
          <t>Visitors</t>
        </is>
      </c>
      <c r="I4" s="28" t="inlineStr">
        <is>
          <t>Sign-ups from the segment</t>
        </is>
      </c>
      <c r="J4" s="28" t="inlineStr">
        <is>
          <t>Conversion (sign-ups ÷ visitors)</t>
        </is>
      </c>
      <c r="K4" s="28" t="inlineStr">
        <is>
          <t>Notes</t>
        </is>
      </c>
    </row>
    <row r="5">
      <c r="J5" s="44">
        <f>IF(OR(H5="",H5=0),"",I5/H5)</f>
        <v/>
      </c>
    </row>
    <row r="6">
      <c r="J6" s="44">
        <f>IF(OR(H6="",H6=0),"",I6/H6)</f>
        <v/>
      </c>
    </row>
    <row r="7">
      <c r="J7" s="44">
        <f>IF(OR(H7="",H7=0),"",I7/H7)</f>
        <v/>
      </c>
    </row>
    <row r="8">
      <c r="J8" s="44">
        <f>IF(OR(H8="",H8=0),"",I8/H8)</f>
        <v/>
      </c>
    </row>
    <row r="9">
      <c r="J9" s="44">
        <f>IF(OR(H9="",H9=0),"",I9/H9)</f>
        <v/>
      </c>
    </row>
    <row r="10">
      <c r="J10" s="44">
        <f>IF(OR(H10="",H10=0),"",I10/H10)</f>
        <v/>
      </c>
    </row>
    <row r="11">
      <c r="J11" s="44">
        <f>IF(OR(H11="",H11=0),"",I11/H11)</f>
        <v/>
      </c>
    </row>
    <row r="12">
      <c r="J12" s="44">
        <f>IF(OR(H12="",H12=0),"",I12/H12)</f>
        <v/>
      </c>
    </row>
    <row r="13">
      <c r="J13" s="44">
        <f>IF(OR(H13="",H13=0),"",I13/H13)</f>
        <v/>
      </c>
    </row>
    <row r="14">
      <c r="J14" s="44">
        <f>IF(OR(H14="",H14=0),"",I14/H14)</f>
        <v/>
      </c>
    </row>
    <row r="15">
      <c r="J15" s="44">
        <f>IF(OR(H15="",H15=0),"",I15/H15)</f>
        <v/>
      </c>
    </row>
    <row r="16">
      <c r="J16" s="44">
        <f>IF(OR(H16="",H16=0),"",I16/H16)</f>
        <v/>
      </c>
    </row>
    <row r="17">
      <c r="J17" s="44">
        <f>IF(OR(H17="",H17=0),"",I17/H17)</f>
        <v/>
      </c>
    </row>
    <row r="18">
      <c r="J18" s="44">
        <f>IF(OR(H18="",H18=0),"",I18/H18)</f>
        <v/>
      </c>
    </row>
    <row r="19">
      <c r="J19" s="44">
        <f>IF(OR(H19="",H19=0),"",I19/H19)</f>
        <v/>
      </c>
    </row>
    <row r="20">
      <c r="J20" s="44">
        <f>IF(OR(H20="",H20=0),"",I20/H20)</f>
        <v/>
      </c>
    </row>
    <row r="21">
      <c r="J21" s="44">
        <f>IF(OR(H21="",H21=0),"",I21/H21)</f>
        <v/>
      </c>
    </row>
    <row r="22">
      <c r="J22" s="44">
        <f>IF(OR(H22="",H22=0),"",I22/H22)</f>
        <v/>
      </c>
    </row>
    <row r="23">
      <c r="J23" s="44">
        <f>IF(OR(H23="",H23=0),"",I23/H23)</f>
        <v/>
      </c>
    </row>
    <row r="24">
      <c r="J24" s="44">
        <f>IF(OR(H24="",H24=0),"",I24/H24)</f>
        <v/>
      </c>
    </row>
    <row r="25">
      <c r="J25" s="44">
        <f>IF(OR(H25="",H25=0),"",I25/H25)</f>
        <v/>
      </c>
    </row>
    <row r="26">
      <c r="J26" s="44">
        <f>IF(OR(H26="",H26=0),"",I26/H26)</f>
        <v/>
      </c>
    </row>
    <row r="27">
      <c r="J27" s="44">
        <f>IF(OR(H27="",H27=0),"",I27/H27)</f>
        <v/>
      </c>
    </row>
    <row r="28">
      <c r="J28" s="44">
        <f>IF(OR(H28="",H28=0),"",I28/H28)</f>
        <v/>
      </c>
    </row>
    <row r="29">
      <c r="J29" s="44">
        <f>IF(OR(H29="",H29=0),"",I29/H29)</f>
        <v/>
      </c>
    </row>
    <row r="30">
      <c r="J30" s="44">
        <f>IF(OR(H30="",H30=0),"",I30/H30)</f>
        <v/>
      </c>
    </row>
    <row r="31">
      <c r="J31" s="44">
        <f>IF(OR(H31="",H31=0),"",I31/H31)</f>
        <v/>
      </c>
    </row>
    <row r="32">
      <c r="J32" s="44">
        <f>IF(OR(H32="",H32=0),"",I32/H32)</f>
        <v/>
      </c>
    </row>
    <row r="33">
      <c r="J33" s="44">
        <f>IF(OR(H33="",H33=0),"",I33/H33)</f>
        <v/>
      </c>
    </row>
    <row r="34">
      <c r="J34" s="44">
        <f>IF(OR(H34="",H34=0),"",I34/H34)</f>
        <v/>
      </c>
    </row>
    <row r="35">
      <c r="J35" s="44">
        <f>IF(OR(H35="",H35=0),"",I35/H35)</f>
        <v/>
      </c>
    </row>
    <row r="36">
      <c r="J36" s="44">
        <f>IF(OR(H36="",H36=0),"",I36/H36)</f>
        <v/>
      </c>
    </row>
    <row r="37">
      <c r="J37" s="44">
        <f>IF(OR(H37="",H37=0),"",I37/H37)</f>
        <v/>
      </c>
    </row>
    <row r="38">
      <c r="J38" s="44">
        <f>IF(OR(H38="",H38=0),"",I38/H38)</f>
        <v/>
      </c>
    </row>
    <row r="39">
      <c r="J39" s="44">
        <f>IF(OR(H39="",H39=0),"",I39/H39)</f>
        <v/>
      </c>
    </row>
    <row r="40">
      <c r="J40" s="44">
        <f>IF(OR(H40="",H40=0),"",I40/H40)</f>
        <v/>
      </c>
    </row>
    <row r="41">
      <c r="J41" s="44">
        <f>IF(OR(H41="",H41=0),"",I41/H41)</f>
        <v/>
      </c>
    </row>
    <row r="42">
      <c r="J42" s="44">
        <f>IF(OR(H42="",H42=0),"",I42/H42)</f>
        <v/>
      </c>
    </row>
    <row r="43">
      <c r="J43" s="44">
        <f>IF(OR(H43="",H43=0),"",I43/H43)</f>
        <v/>
      </c>
    </row>
    <row r="44">
      <c r="J44" s="44">
        <f>IF(OR(H44="",H44=0),"",I44/H44)</f>
        <v/>
      </c>
    </row>
    <row r="45">
      <c r="J45" s="44">
        <f>IF(OR(H45="",H45=0),"",I45/H45)</f>
        <v/>
      </c>
    </row>
    <row r="46">
      <c r="J46" s="44">
        <f>IF(OR(H46="",H46=0),"",I46/H46)</f>
        <v/>
      </c>
    </row>
    <row r="47">
      <c r="J47" s="44">
        <f>IF(OR(H47="",H47=0),"",I47/H47)</f>
        <v/>
      </c>
    </row>
    <row r="48">
      <c r="J48" s="44">
        <f>IF(OR(H48="",H48=0),"",I48/H48)</f>
        <v/>
      </c>
    </row>
    <row r="49">
      <c r="J49" s="44">
        <f>IF(OR(H49="",H49=0),"",I49/H49)</f>
        <v/>
      </c>
    </row>
    <row r="50">
      <c r="J50" s="44">
        <f>IF(OR(H50="",H50=0),"",I50/H50)</f>
        <v/>
      </c>
    </row>
    <row r="51">
      <c r="J51" s="44">
        <f>IF(OR(H51="",H51=0),"",I51/H51)</f>
        <v/>
      </c>
    </row>
    <row r="52">
      <c r="J52" s="44">
        <f>IF(OR(H52="",H52=0),"",I52/H52)</f>
        <v/>
      </c>
    </row>
    <row r="53">
      <c r="J53" s="44">
        <f>IF(OR(H53="",H53=0),"",I53/H53)</f>
        <v/>
      </c>
    </row>
    <row r="54">
      <c r="J54" s="44">
        <f>IF(OR(H54="",H54=0),"",I54/H54)</f>
        <v/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N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25" customWidth="1" style="19" min="1" max="1"/>
    <col width="8" customWidth="1" style="19" min="2" max="13"/>
    <col width="13" customWidth="1" style="20" min="13" max="13"/>
    <col width="13" customWidth="1" style="20" min="14" max="14"/>
  </cols>
  <sheetData>
    <row r="1" ht="15" customHeight="1" s="20">
      <c r="A1" s="25" t="inlineStr">
        <is>
          <t>KPI TRACKER</t>
        </is>
      </c>
    </row>
    <row r="3" ht="15" customHeight="1" s="20">
      <c r="A3" s="23" t="inlineStr">
        <is>
          <t>WEEKLY METRICS</t>
        </is>
      </c>
    </row>
    <row r="4" ht="15" customHeight="1" s="20">
      <c r="A4" s="32" t="inlineStr">
        <is>
          <t>Metric</t>
        </is>
      </c>
      <c r="B4" s="32" t="inlineStr">
        <is>
          <t>M00</t>
        </is>
      </c>
      <c r="C4" s="32" t="inlineStr">
        <is>
          <t>M01</t>
        </is>
      </c>
      <c r="D4" s="32" t="inlineStr">
        <is>
          <t>M02</t>
        </is>
      </c>
      <c r="E4" s="32" t="inlineStr">
        <is>
          <t>M03</t>
        </is>
      </c>
      <c r="F4" s="32" t="inlineStr">
        <is>
          <t>M04</t>
        </is>
      </c>
      <c r="G4" s="32" t="inlineStr">
        <is>
          <t>M05</t>
        </is>
      </c>
      <c r="H4" s="32" t="inlineStr">
        <is>
          <t>M06</t>
        </is>
      </c>
      <c r="I4" s="32" t="inlineStr">
        <is>
          <t>M07</t>
        </is>
      </c>
      <c r="J4" s="32" t="inlineStr">
        <is>
          <t>M08</t>
        </is>
      </c>
      <c r="K4" s="32" t="inlineStr">
        <is>
          <t>M09</t>
        </is>
      </c>
      <c r="L4" s="32" t="inlineStr">
        <is>
          <t>M10</t>
        </is>
      </c>
      <c r="M4" s="32" t="inlineStr">
        <is>
          <t>M11</t>
        </is>
      </c>
      <c r="N4" s="32" t="inlineStr">
        <is>
          <t>M12</t>
        </is>
      </c>
    </row>
    <row r="5" ht="15" customHeight="1" s="20">
      <c r="A5" s="33" t="inlineStr">
        <is>
          <t>Interviews Conducted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</row>
    <row r="6" ht="15" customHeight="1" s="20">
      <c r="A6" s="33" t="inlineStr">
        <is>
          <t>Experiments Run</t>
        </is>
      </c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</row>
    <row r="7" ht="15" customHeight="1" s="20">
      <c r="A7" s="33" t="inlineStr">
        <is>
          <t>Landing Page Visitors</t>
        </is>
      </c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</row>
    <row r="8" ht="15" customHeight="1" s="20">
      <c r="A8" s="33" t="inlineStr">
        <is>
          <t>Sign-ups / Leads</t>
        </is>
      </c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</row>
    <row r="9" ht="15" customHeight="1" s="20">
      <c r="A9" s="33" t="inlineStr">
        <is>
          <t>Prototype Users</t>
        </is>
      </c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</row>
    <row r="10" ht="15" customHeight="1" s="20">
      <c r="A10" s="33" t="inlineStr">
        <is>
          <t>Active Users (weekly)</t>
        </is>
      </c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</row>
    <row r="11" ht="15" customHeight="1" s="20">
      <c r="A11" s="33" t="inlineStr">
        <is>
          <t>Paying Customers</t>
        </is>
      </c>
      <c r="B11" s="34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</row>
    <row r="12" ht="15" customHeight="1" s="20">
      <c r="A12" s="33" t="inlineStr">
        <is>
          <t>Revenue (€)</t>
        </is>
      </c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</row>
    <row r="13" ht="15" customHeight="1" s="20">
      <c r="A13" s="33" t="inlineStr">
        <is>
          <t>NPS Score</t>
        </is>
      </c>
      <c r="B13" s="34" t="n"/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</row>
    <row r="15" ht="15" customHeight="1" s="20">
      <c r="A15" s="23" t="inlineStr">
        <is>
          <t>CUMULATIVE TOTALS</t>
        </is>
      </c>
    </row>
    <row r="16" ht="15" customHeight="1" s="20">
      <c r="A16" s="19" t="inlineStr">
        <is>
          <t>Total Interviews</t>
        </is>
      </c>
      <c r="C16" s="35">
        <f>SUM(B5:N5)</f>
        <v/>
      </c>
    </row>
    <row r="17" ht="15" customHeight="1" s="20">
      <c r="A17" s="19" t="inlineStr">
        <is>
          <t>Total Experiments</t>
        </is>
      </c>
      <c r="C17" s="35">
        <f>SUM(B6:N6)</f>
        <v/>
      </c>
    </row>
    <row r="18" ht="15" customHeight="1" s="20">
      <c r="A18" s="19" t="inlineStr">
        <is>
          <t>Total Revenue (€)</t>
        </is>
      </c>
      <c r="C18" s="35">
        <f>SUM(B12:N12)</f>
        <v/>
      </c>
    </row>
    <row r="19" ht="15" customHeight="1" s="20">
      <c r="A19" s="19" t="inlineStr">
        <is>
          <t>Total Customers</t>
        </is>
      </c>
      <c r="C19" s="35">
        <f>MAX(B11:N11)</f>
        <v/>
      </c>
    </row>
  </sheetData>
  <mergeCells count="3">
    <mergeCell ref="A15:C15"/>
    <mergeCell ref="A3:N3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10" customWidth="1" style="19" min="1" max="1"/>
    <col width="30.01" customWidth="1" style="19" min="2" max="7"/>
  </cols>
  <sheetData>
    <row r="1" ht="15" customHeight="1" s="20">
      <c r="A1" s="25" t="inlineStr">
        <is>
          <t>WEEKLY REFLECTION</t>
        </is>
      </c>
    </row>
    <row r="2" ht="15" customHeight="1" s="20">
      <c r="A2" s="27" t="inlineStr">
        <is>
          <t>Complete each week before the next session</t>
        </is>
      </c>
    </row>
    <row r="4" ht="15" customHeight="1" s="20">
      <c r="A4" s="23" t="inlineStr">
        <is>
          <t>Module</t>
        </is>
      </c>
      <c r="B4" s="28" t="inlineStr">
        <is>
          <t>What were our 3 biggest learnings this week?</t>
        </is>
      </c>
      <c r="C4" s="28" t="inlineStr">
        <is>
          <t>What assumptions did we validate or invalidate?</t>
        </is>
      </c>
      <c r="D4" s="28" t="inlineStr">
        <is>
          <t>What surprised us most?</t>
        </is>
      </c>
      <c r="E4" s="28" t="inlineStr">
        <is>
          <t>What's our riskiest assumption right now?</t>
        </is>
      </c>
      <c r="F4" s="28" t="inlineStr">
        <is>
          <t>What's our #1 priority for next week?</t>
        </is>
      </c>
      <c r="G4" s="28" t="inlineStr">
        <is>
          <t>What help do we need?</t>
        </is>
      </c>
    </row>
    <row r="5" ht="60" customHeight="1" s="20">
      <c r="A5" s="33" t="inlineStr">
        <is>
          <t>Module 00</t>
        </is>
      </c>
      <c r="B5" s="36" t="n"/>
      <c r="C5" s="36" t="n"/>
      <c r="D5" s="36" t="n"/>
      <c r="E5" s="36" t="n"/>
      <c r="F5" s="36" t="n"/>
      <c r="G5" s="36" t="n"/>
    </row>
    <row r="6" ht="60" customHeight="1" s="20">
      <c r="A6" s="33" t="inlineStr">
        <is>
          <t>Module 01</t>
        </is>
      </c>
      <c r="B6" s="36" t="n"/>
      <c r="C6" s="36" t="n"/>
      <c r="D6" s="36" t="n"/>
      <c r="E6" s="36" t="n"/>
      <c r="F6" s="36" t="n"/>
      <c r="G6" s="36" t="n"/>
    </row>
    <row r="7" ht="60" customHeight="1" s="20">
      <c r="A7" s="33" t="inlineStr">
        <is>
          <t>Module 02</t>
        </is>
      </c>
      <c r="B7" s="36" t="n"/>
      <c r="C7" s="36" t="n"/>
      <c r="D7" s="36" t="n"/>
      <c r="E7" s="36" t="n"/>
      <c r="F7" s="36" t="n"/>
      <c r="G7" s="36" t="n"/>
    </row>
    <row r="8" ht="60" customHeight="1" s="20">
      <c r="A8" s="33" t="inlineStr">
        <is>
          <t>Module 03</t>
        </is>
      </c>
      <c r="B8" s="36" t="n"/>
      <c r="C8" s="36" t="n"/>
      <c r="D8" s="36" t="n"/>
      <c r="E8" s="36" t="n"/>
      <c r="F8" s="36" t="n"/>
      <c r="G8" s="36" t="n"/>
    </row>
    <row r="9" ht="60" customHeight="1" s="20">
      <c r="A9" s="33" t="inlineStr">
        <is>
          <t>Module 04</t>
        </is>
      </c>
      <c r="B9" s="36" t="n"/>
      <c r="C9" s="36" t="n"/>
      <c r="D9" s="36" t="n"/>
      <c r="E9" s="36" t="n"/>
      <c r="F9" s="36" t="n"/>
      <c r="G9" s="36" t="n"/>
    </row>
    <row r="10" ht="60" customHeight="1" s="20">
      <c r="A10" s="33" t="inlineStr">
        <is>
          <t>Module 05</t>
        </is>
      </c>
      <c r="B10" s="36" t="n"/>
      <c r="C10" s="36" t="n"/>
      <c r="D10" s="36" t="n"/>
      <c r="E10" s="36" t="n"/>
      <c r="F10" s="36" t="n"/>
      <c r="G10" s="36" t="n"/>
    </row>
    <row r="11" ht="60" customHeight="1" s="20">
      <c r="A11" s="33" t="inlineStr">
        <is>
          <t>Module 06</t>
        </is>
      </c>
      <c r="B11" s="36" t="n"/>
      <c r="C11" s="36" t="n"/>
      <c r="D11" s="36" t="n"/>
      <c r="E11" s="36" t="n"/>
      <c r="F11" s="36" t="n"/>
      <c r="G11" s="36" t="n"/>
    </row>
    <row r="12" ht="60" customHeight="1" s="20">
      <c r="A12" s="33" t="inlineStr">
        <is>
          <t>Module 07</t>
        </is>
      </c>
      <c r="B12" s="36" t="n"/>
      <c r="C12" s="36" t="n"/>
      <c r="D12" s="36" t="n"/>
      <c r="E12" s="36" t="n"/>
      <c r="F12" s="36" t="n"/>
      <c r="G12" s="36" t="n"/>
    </row>
    <row r="13" ht="60" customHeight="1" s="20">
      <c r="A13" s="33" t="inlineStr">
        <is>
          <t>Module 08</t>
        </is>
      </c>
      <c r="B13" s="36" t="n"/>
      <c r="C13" s="36" t="n"/>
      <c r="D13" s="36" t="n"/>
      <c r="E13" s="36" t="n"/>
      <c r="F13" s="36" t="n"/>
      <c r="G13" s="36" t="n"/>
    </row>
    <row r="14" ht="60" customHeight="1" s="20">
      <c r="A14" s="33" t="inlineStr">
        <is>
          <t>Module 09</t>
        </is>
      </c>
      <c r="B14" s="36" t="n"/>
      <c r="C14" s="36" t="n"/>
      <c r="D14" s="36" t="n"/>
      <c r="E14" s="36" t="n"/>
      <c r="F14" s="36" t="n"/>
      <c r="G14" s="36" t="n"/>
    </row>
    <row r="15" ht="60" customHeight="1" s="20">
      <c r="A15" s="33" t="inlineStr">
        <is>
          <t>Module 10</t>
        </is>
      </c>
      <c r="B15" s="36" t="n"/>
      <c r="C15" s="36" t="n"/>
      <c r="D15" s="36" t="n"/>
      <c r="E15" s="36" t="n"/>
      <c r="F15" s="36" t="n"/>
      <c r="G15" s="36" t="n"/>
    </row>
    <row r="16" ht="60" customHeight="1" s="20">
      <c r="A16" s="33" t="inlineStr">
        <is>
          <t>Module 11</t>
        </is>
      </c>
      <c r="B16" s="36" t="n"/>
      <c r="C16" s="36" t="n"/>
      <c r="D16" s="36" t="n"/>
      <c r="E16" s="36" t="n"/>
      <c r="F16" s="36" t="n"/>
      <c r="G16" s="36" t="n"/>
    </row>
    <row r="17">
      <c r="A17" s="33" t="inlineStr">
        <is>
          <t>Module 12</t>
        </is>
      </c>
      <c r="B17" s="36" t="n"/>
      <c r="C17" s="36" t="n"/>
      <c r="D17" s="36" t="n"/>
      <c r="E17" s="36" t="n"/>
      <c r="F17" s="36" t="n"/>
      <c r="G17" s="36" t="n"/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50" customWidth="1" style="19" min="1" max="1"/>
    <col width="18" customWidth="1" style="19" min="2" max="2"/>
    <col width="40" customWidth="1" style="19" min="3" max="3"/>
  </cols>
  <sheetData>
    <row r="1" ht="15" customHeight="1" s="20">
      <c r="A1" s="25" t="inlineStr">
        <is>
          <t>SELF-ASSESSMENT RUBRIC</t>
        </is>
      </c>
    </row>
    <row r="2" ht="15" customHeight="1" s="20">
      <c r="A2" s="27" t="inlineStr">
        <is>
          <t>Track your progress against the grading rubric (GRADING_RUBRIC.md). Evidence quality and decision discipline weigh as much as revenue.</t>
        </is>
      </c>
    </row>
    <row r="3">
      <c r="A3" s="19" t="n"/>
      <c r="B3" s="19" t="n"/>
      <c r="C3" s="19" t="n"/>
      <c r="D3" s="19" t="n"/>
      <c r="E3" s="19" t="n"/>
    </row>
    <row r="4" ht="15" customHeight="1" s="20">
      <c r="A4" s="23" t="inlineStr">
        <is>
          <t>EVIDENCE QUALITY (30%)</t>
        </is>
      </c>
    </row>
    <row r="5" ht="15" customHeight="1" s="20">
      <c r="A5" s="24" t="inlineStr">
        <is>
          <t>Criteria</t>
        </is>
      </c>
      <c r="B5" s="24" t="inlineStr">
        <is>
          <t>Your Rating (1-5)</t>
        </is>
      </c>
      <c r="C5" s="24" t="inlineStr">
        <is>
          <t>Notes</t>
        </is>
      </c>
      <c r="D5" s="19" t="n"/>
      <c r="E5" s="19" t="n"/>
    </row>
    <row r="6" ht="15" customHeight="1" s="20">
      <c r="A6" s="19" t="inlineStr">
        <is>
          <t>Interview Log with a named contact and one verbatim quote per conversation</t>
        </is>
      </c>
      <c r="B6" s="22" t="n"/>
      <c r="C6" s="22" t="n"/>
      <c r="D6" s="19" t="n"/>
      <c r="E6" s="19" t="n"/>
    </row>
    <row r="7" ht="15" customHeight="1" s="20">
      <c r="A7" s="19" t="inlineStr">
        <is>
          <t>Pre-committed thresholds in the Kill Criteria Log</t>
        </is>
      </c>
      <c r="B7" s="22" t="n"/>
      <c r="C7" s="22" t="n"/>
      <c r="D7" s="19" t="n"/>
      <c r="E7" s="19" t="n"/>
    </row>
    <row r="8" ht="15" customHeight="1" s="20">
      <c r="A8" s="19" t="inlineStr">
        <is>
          <t>UTM-verified traffic for landing-page tests</t>
        </is>
      </c>
      <c r="B8" s="22" t="n"/>
      <c r="C8" s="22" t="n"/>
      <c r="D8" s="19" t="n"/>
      <c r="E8" s="19" t="n"/>
    </row>
    <row r="9" ht="15" customHeight="1" s="20">
      <c r="A9" s="19" t="inlineStr">
        <is>
          <t>Honest small-n read-outs</t>
        </is>
      </c>
      <c r="B9" s="22" t="n"/>
      <c r="C9" s="22" t="n"/>
      <c r="D9" s="19" t="n"/>
      <c r="E9" s="19" t="n"/>
    </row>
    <row r="10" ht="15" customHeight="1" s="20">
      <c r="A10" s="19" t="inlineStr">
        <is>
          <t>The Toolkit tells a complete, auditable story</t>
        </is>
      </c>
      <c r="B10" s="22" t="n"/>
      <c r="C10" s="22" t="n"/>
      <c r="D10" s="19" t="n"/>
      <c r="E10" s="19" t="n"/>
    </row>
    <row r="11" ht="15" customHeight="1" s="20">
      <c r="A11" s="19" t="n"/>
      <c r="B11" s="19" t="n"/>
      <c r="C11" s="19" t="n"/>
      <c r="D11" s="19" t="n"/>
      <c r="E11" s="19" t="n"/>
    </row>
    <row r="12" ht="15" customHeight="1" s="20">
      <c r="A12" s="23" t="inlineStr">
        <is>
          <t>DECISION DISCIPLINE (30%)</t>
        </is>
      </c>
    </row>
    <row r="13" ht="15" customHeight="1" s="20">
      <c r="A13" s="24" t="inlineStr">
        <is>
          <t>Criteria</t>
        </is>
      </c>
      <c r="B13" s="24" t="inlineStr">
        <is>
          <t>Your Rating (1-5)</t>
        </is>
      </c>
      <c r="C13" s="24" t="inlineStr">
        <is>
          <t>Notes</t>
        </is>
      </c>
      <c r="D13" s="19" t="n"/>
      <c r="E13" s="19" t="n"/>
    </row>
    <row r="14">
      <c r="A14" s="19" t="inlineStr">
        <is>
          <t>Pass/fail lines written BEFORE each test</t>
        </is>
      </c>
      <c r="B14" s="22" t="n"/>
      <c r="C14" s="22" t="n"/>
      <c r="D14" s="19" t="n"/>
      <c r="E14" s="19" t="n"/>
    </row>
    <row r="15" ht="15" customHeight="1" s="20">
      <c r="A15" s="19" t="inlineStr">
        <is>
          <t>Lines honoured when a result crossed them</t>
        </is>
      </c>
      <c r="B15" s="22" t="n"/>
      <c r="C15" s="22" t="n"/>
      <c r="D15" s="19" t="n"/>
      <c r="E15" s="19" t="n"/>
    </row>
    <row r="16" ht="15" customHeight="1" s="20">
      <c r="A16" s="19" t="inlineStr">
        <is>
          <t>Go/Pivot/Kill decisions argued from data, not attachment</t>
        </is>
      </c>
      <c r="B16" s="22" t="n"/>
      <c r="C16" s="22" t="n"/>
      <c r="D16" s="19" t="n"/>
      <c r="E16" s="19" t="n"/>
    </row>
    <row r="17" ht="15" customHeight="1" s="20">
      <c r="A17" s="19" t="inlineStr">
        <is>
          <t>Pivots and kills documented with what the evidence said</t>
        </is>
      </c>
      <c r="B17" s="22" t="n"/>
      <c r="C17" s="22" t="n"/>
      <c r="D17" s="19" t="n"/>
      <c r="E17" s="19" t="n"/>
    </row>
    <row r="18" ht="15" customHeight="1" s="20">
      <c r="A18" s="19" t="n"/>
      <c r="B18" s="19" t="n"/>
      <c r="C18" s="19" t="n"/>
      <c r="D18" s="19" t="n"/>
      <c r="E18" s="19" t="n"/>
    </row>
    <row r="19" ht="15" customHeight="1" s="20">
      <c r="A19" s="23" t="inlineStr">
        <is>
          <t>VERIFIED TRACTION (30%)</t>
        </is>
      </c>
    </row>
    <row r="20" ht="15" customHeight="1" s="20">
      <c r="A20" s="24" t="inlineStr">
        <is>
          <t>Criteria</t>
        </is>
      </c>
      <c r="B20" s="24" t="inlineStr">
        <is>
          <t>Your Rating (1-5)</t>
        </is>
      </c>
      <c r="C20" s="24" t="inlineStr">
        <is>
          <t>Notes</t>
        </is>
      </c>
      <c r="D20" s="19" t="n"/>
      <c r="E20" s="19" t="n"/>
    </row>
    <row r="21" ht="15" customHeight="1" s="20">
      <c r="A21" s="19" t="inlineStr">
        <is>
          <t>Progress along the Revenue Ladder</t>
        </is>
      </c>
      <c r="B21" s="22" t="n"/>
      <c r="C21" s="22" t="n"/>
      <c r="D21" s="19" t="n"/>
      <c r="E21" s="19" t="n"/>
    </row>
    <row r="22" ht="15" customHeight="1" s="20">
      <c r="A22" s="19" t="inlineStr">
        <is>
          <t>Revenue from outside your social graph, verified by dashboard or invoice</t>
        </is>
      </c>
      <c r="B22" s="22" t="n"/>
      <c r="C22" s="22" t="n"/>
      <c r="D22" s="19" t="n"/>
      <c r="E22" s="19" t="n"/>
    </row>
    <row r="23" ht="15" customHeight="1" s="20">
      <c r="A23" s="19" t="inlineStr">
        <is>
          <t>Repeatable revenue (same offer, more than one customer)</t>
        </is>
      </c>
      <c r="B23" s="22" t="n"/>
      <c r="C23" s="22" t="n"/>
      <c r="D23" s="19" t="n"/>
      <c r="E23" s="19" t="n"/>
    </row>
    <row r="24" ht="15" customHeight="1" s="20">
      <c r="A24" s="19" t="n"/>
      <c r="B24" s="19" t="n"/>
      <c r="C24" s="19" t="n"/>
      <c r="D24" s="19" t="n"/>
      <c r="E24" s="19" t="n"/>
    </row>
    <row r="25" ht="15" customHeight="1" s="20">
      <c r="A25" s="23" t="inlineStr">
        <is>
          <t>COMMUNICATION (10%)</t>
        </is>
      </c>
    </row>
    <row r="26">
      <c r="A26" s="24" t="inlineStr">
        <is>
          <t>Criteria</t>
        </is>
      </c>
      <c r="B26" s="24" t="inlineStr">
        <is>
          <t>Your Rating (1-5)</t>
        </is>
      </c>
      <c r="C26" s="24" t="inlineStr">
        <is>
          <t>Notes</t>
        </is>
      </c>
      <c r="D26" s="19" t="n"/>
      <c r="E26" s="19" t="n"/>
    </row>
    <row r="27" ht="15" customHeight="1" s="20">
      <c r="A27" s="19" t="inlineStr">
        <is>
          <t>Demo-day pitch with clear problem evidence</t>
        </is>
      </c>
      <c r="B27" s="22" t="n"/>
      <c r="C27" s="22" t="n"/>
      <c r="D27" s="19" t="n"/>
      <c r="E27" s="19" t="n"/>
    </row>
    <row r="28" ht="15" customHeight="1" s="20">
      <c r="A28" s="19" t="inlineStr">
        <is>
          <t>Honest numbers</t>
        </is>
      </c>
      <c r="B28" s="22" t="n"/>
      <c r="C28" s="22" t="n"/>
      <c r="D28" s="19" t="n"/>
      <c r="E28" s="19" t="n"/>
    </row>
    <row r="29" ht="15" customHeight="1" s="20">
      <c r="A29" s="19" t="inlineStr">
        <is>
          <t>A story that survives Q&amp;A</t>
        </is>
      </c>
      <c r="B29" s="22" t="n"/>
      <c r="C29" s="22" t="n"/>
      <c r="D29" s="19" t="n"/>
      <c r="E29" s="19" t="n"/>
    </row>
    <row r="30" ht="15" customHeight="1" s="20">
      <c r="A30" s="19" t="n"/>
      <c r="B30" s="19" t="n"/>
      <c r="C30" s="19" t="n"/>
      <c r="D30" s="19" t="n"/>
      <c r="E30" s="19" t="n"/>
    </row>
    <row r="31" ht="15" customHeight="1" s="20">
      <c r="A31" s="19" t="n"/>
      <c r="B31" s="19" t="n"/>
      <c r="C31" s="19" t="n"/>
      <c r="D31" s="19" t="n"/>
      <c r="E31" s="19" t="n"/>
    </row>
    <row r="32" ht="15" customHeight="1" s="20">
      <c r="A32" s="19" t="n"/>
      <c r="B32" s="19" t="n"/>
      <c r="C32" s="19" t="n"/>
      <c r="D32" s="19" t="n"/>
      <c r="E32" s="19" t="n"/>
    </row>
  </sheetData>
  <mergeCells count="5">
    <mergeCell ref="A12:E12"/>
    <mergeCell ref="A4:E4"/>
    <mergeCell ref="A25:E25"/>
    <mergeCell ref="A19:E19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44.99" customWidth="1" style="19" min="1" max="1"/>
    <col width="8" customWidth="1" style="19" min="2" max="2"/>
    <col width="35" customWidth="1" style="19" min="3" max="3"/>
    <col width="30.01" customWidth="1" style="19" min="4" max="4"/>
  </cols>
  <sheetData>
    <row r="1" ht="15" customHeight="1" s="20">
      <c r="A1" s="25" t="inlineStr">
        <is>
          <t>FINAL SUBMISSION CHECKLIST</t>
        </is>
      </c>
    </row>
    <row r="2" ht="15" customHeight="1" s="20">
      <c r="A2" s="27" t="inlineStr">
        <is>
          <t>Check off items as you complete them</t>
        </is>
      </c>
    </row>
    <row r="4" ht="15" customHeight="1" s="20">
      <c r="A4" s="23" t="inlineStr">
        <is>
          <t>Required Deliverable</t>
        </is>
      </c>
      <c r="B4" s="23" t="inlineStr">
        <is>
          <t>Done?</t>
        </is>
      </c>
      <c r="C4" s="23" t="inlineStr">
        <is>
          <t>Link/Location</t>
        </is>
      </c>
      <c r="D4" s="23" t="inlineStr">
        <is>
          <t>Notes</t>
        </is>
      </c>
    </row>
    <row r="5" ht="15" customHeight="1" s="20">
      <c r="A5" s="19" t="inlineStr">
        <is>
          <t>Final pitch deck (updated with feedback)</t>
        </is>
      </c>
      <c r="B5" s="37" t="inlineStr">
        <is>
          <t>☐</t>
        </is>
      </c>
      <c r="C5" s="22" t="n"/>
      <c r="D5" s="22" t="n"/>
    </row>
    <row r="6" ht="15" customHeight="1" s="20">
      <c r="A6" s="19" t="inlineStr">
        <is>
          <t>Live demo recording link</t>
        </is>
      </c>
      <c r="B6" s="37" t="inlineStr">
        <is>
          <t>☐</t>
        </is>
      </c>
      <c r="C6" s="22" t="n"/>
      <c r="D6" s="22" t="n"/>
    </row>
    <row r="7" ht="15" customHeight="1" s="20">
      <c r="A7" s="19" t="inlineStr">
        <is>
          <t>Prototype access (repo or share link)</t>
        </is>
      </c>
      <c r="B7" s="37" t="inlineStr">
        <is>
          <t>☐</t>
        </is>
      </c>
      <c r="C7" s="22" t="n"/>
      <c r="D7" s="22" t="n"/>
    </row>
    <row r="8" ht="15" customHeight="1" s="20">
      <c r="A8" s="19" t="inlineStr">
        <is>
          <t>Interview log (10-15/week documented)</t>
        </is>
      </c>
      <c r="B8" s="37" t="inlineStr">
        <is>
          <t>☐</t>
        </is>
      </c>
      <c r="C8" s="22" t="n"/>
      <c r="D8" s="22" t="n"/>
    </row>
    <row r="9" ht="15" customHeight="1" s="20">
      <c r="A9" s="19" t="inlineStr">
        <is>
          <t>Experiment tracker (all experiments)</t>
        </is>
      </c>
      <c r="B9" s="37" t="inlineStr">
        <is>
          <t>☐</t>
        </is>
      </c>
      <c r="C9" s="22" t="n"/>
      <c r="D9" s="22" t="n"/>
    </row>
    <row r="10" ht="15" customHeight="1" s="20">
      <c r="A10" s="19" t="inlineStr">
        <is>
          <t>Analytics snapshot</t>
        </is>
      </c>
      <c r="B10" s="37" t="inlineStr">
        <is>
          <t>☐</t>
        </is>
      </c>
      <c r="C10" s="22" t="n"/>
      <c r="D10" s="22" t="n"/>
    </row>
    <row r="11" ht="15" customHeight="1" s="20">
      <c r="A11" s="19" t="inlineStr">
        <is>
          <t>KPI sheet with weekly data</t>
        </is>
      </c>
      <c r="B11" s="37" t="inlineStr">
        <is>
          <t>☐</t>
        </is>
      </c>
      <c r="C11" s="22" t="n"/>
      <c r="D11" s="22" t="n"/>
    </row>
    <row r="12" ht="15" customHeight="1" s="20">
      <c r="A12" s="19" t="inlineStr">
        <is>
          <t>Individual reflection essay</t>
        </is>
      </c>
      <c r="B12" s="37" t="inlineStr">
        <is>
          <t>☐</t>
        </is>
      </c>
      <c r="C12" s="22" t="n"/>
      <c r="D12" s="22" t="n"/>
    </row>
    <row r="13" ht="15" customHeight="1" s="20">
      <c r="A13" s="19" t="inlineStr">
        <is>
          <t>Team photo</t>
        </is>
      </c>
      <c r="B13" s="37" t="inlineStr">
        <is>
          <t>☐</t>
        </is>
      </c>
      <c r="C13" s="22" t="n"/>
      <c r="D13" s="22" t="n"/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style="20" min="1" max="1"/>
    <col width="42" customWidth="1" style="20" min="2" max="2"/>
    <col width="28" customWidth="1" style="20" min="3" max="3"/>
  </cols>
  <sheetData>
    <row r="1">
      <c r="A1" s="38" t="inlineStr">
        <is>
          <t>THE REVENUE LADDER — one canonical set of numbers, identical everywhere</t>
        </is>
      </c>
    </row>
    <row r="3">
      <c r="A3" s="39" t="inlineStr">
        <is>
          <t>Week</t>
        </is>
      </c>
      <c r="B3" s="39" t="inlineStr">
        <is>
          <t>Pass bar</t>
        </is>
      </c>
      <c r="C3" s="39" t="inlineStr">
        <is>
          <t>Stretch (leaderboard)</t>
        </is>
      </c>
    </row>
    <row r="4">
      <c r="A4" s="19" t="inlineStr">
        <is>
          <t>Module 08</t>
        </is>
      </c>
      <c r="B4" s="19" t="inlineStr">
        <is>
          <t>First € from outside your social graph</t>
        </is>
      </c>
      <c r="C4" s="19" t="inlineStr">
        <is>
          <t>3 paying users</t>
        </is>
      </c>
    </row>
    <row r="5">
      <c r="A5" s="19" t="inlineStr">
        <is>
          <t>Module 09</t>
        </is>
      </c>
      <c r="B5" s="19" t="inlineStr">
        <is>
          <t>€500 cumulative</t>
        </is>
      </c>
      <c r="C5" s="19" t="inlineStr">
        <is>
          <t>€1,000</t>
        </is>
      </c>
    </row>
    <row r="6">
      <c r="A6" s="19" t="inlineStr">
        <is>
          <t>Module 10</t>
        </is>
      </c>
      <c r="B6" s="19" t="inlineStr">
        <is>
          <t>€1,000</t>
        </is>
      </c>
      <c r="C6" s="19" t="inlineStr">
        <is>
          <t>€3,000</t>
        </is>
      </c>
    </row>
    <row r="7">
      <c r="A7" s="19" t="inlineStr">
        <is>
          <t>Module 11</t>
        </is>
      </c>
      <c r="B7" s="19" t="inlineStr">
        <is>
          <t>€2,000</t>
        </is>
      </c>
      <c r="C7" s="19" t="inlineStr">
        <is>
          <t>€5,000</t>
        </is>
      </c>
    </row>
    <row r="8">
      <c r="A8" s="19" t="inlineStr">
        <is>
          <t>Demo Day</t>
        </is>
      </c>
      <c r="B8" s="19" t="inlineStr">
        <is>
          <t>€1,000 verified minimum + evidence pack</t>
        </is>
      </c>
      <c r="C8" s="19" t="inlineStr">
        <is>
          <t>The €10,000 club</t>
        </is>
      </c>
    </row>
    <row r="10">
      <c r="A10" s="40" t="inlineStr">
        <is>
          <t>WHAT COUNTS:</t>
        </is>
      </c>
    </row>
    <row r="11">
      <c r="A11" s="41" t="inlineStr">
        <is>
          <t>1. Outside your social graph — no friends, family, classmates, or teams in this course</t>
        </is>
      </c>
    </row>
    <row r="12">
      <c r="A12" s="41" t="inlineStr">
        <is>
          <t>2. Verified — payment-dashboard screenshot (Stripe/PayPal) or numbered invoice</t>
        </is>
      </c>
    </row>
    <row r="13">
      <c r="A13" s="41" t="inlineStr">
        <is>
          <t>3. Revenue quality ranks: recurring &gt; repeatable offer &gt; paid pilot &gt; custom project</t>
        </is>
      </c>
    </row>
    <row r="14">
      <c r="A14" s="41" t="inlineStr">
        <is>
          <t>4. 'Paid twice' beats 'paid once' — repeat customers count extra on the leaderboard</t>
        </is>
      </c>
    </row>
    <row r="15">
      <c r="A15" s="41" t="inlineStr">
        <is>
          <t>5. A rigorously argued KILL with a documented evidence pack can earn an A (see GRADING_RUBRIC.md)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style="20" min="1" max="1"/>
    <col width="10" customWidth="1" style="20" min="2" max="2"/>
    <col width="30" customWidth="1" style="20" min="3" max="3"/>
    <col width="38" customWidth="1" style="20" min="4" max="4"/>
    <col width="20" customWidth="1" style="20" min="5" max="5"/>
    <col width="22" customWidth="1" style="20" min="6" max="6"/>
    <col width="30" customWidth="1" style="20" min="7" max="7"/>
  </cols>
  <sheetData>
    <row r="1">
      <c r="A1" s="39" t="inlineStr">
        <is>
          <t>Date</t>
        </is>
      </c>
      <c r="B1" s="39" t="inlineStr">
        <is>
          <t>Module</t>
        </is>
      </c>
      <c r="C1" s="39" t="inlineStr">
        <is>
          <t>Experiment</t>
        </is>
      </c>
      <c r="D1" s="39" t="inlineStr">
        <is>
          <t>Pre-committed pass/fail threshold</t>
        </is>
      </c>
      <c r="E1" s="39" t="inlineStr">
        <is>
          <t>Actual result</t>
        </is>
      </c>
      <c r="F1" s="39" t="inlineStr">
        <is>
          <t>Decision (go/pivot/kill)</t>
        </is>
      </c>
      <c r="G1" s="39" t="inlineStr">
        <is>
          <t>Committed BEFORE the test? (yes/no)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2026-01-27T12:11:52Z</dcterms:created>
  <dcterms:modified xsi:type="dcterms:W3CDTF">2026-10-19T11:11:57Z</dcterms:modified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0x010100EB981E4B9558034BBCB05845810E15BB</vt:lpwstr>
  </property>
</Properties>
</file>